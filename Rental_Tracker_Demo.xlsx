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Dashboard" sheetId="2" state="visible" r:id="rId4"/>
    <sheet name="Property Report" sheetId="3" state="visible" r:id="rId5"/>
    <sheet name="Payments" sheetId="4" state="visible" r:id="rId6"/>
    <sheet name="Rent Schedule" sheetId="5" state="visible" r:id="rId7"/>
    <sheet name="Tenancies" sheetId="6" state="visible" r:id="rId8"/>
    <sheet name="Properties" sheetId="7" state="visible" r:id="rId9"/>
    <sheet name="Expenses" sheetId="8" state="visible" r:id="rId10"/>
    <sheet name="Ownership" sheetId="9" state="visible" r:id="rId11"/>
    <sheet name="Distributions" sheetId="10" state="visible" r:id="rId12"/>
    <sheet name="Settings" sheetId="11" state="visible" r:id="rId13"/>
  </sheets>
  <definedNames>
    <definedName function="false" hidden="false" localSheetId="9" name="_xlnm.Print_Area" vbProcedure="false">Distributions!$A$1:$D$15</definedName>
    <definedName function="false" hidden="false" localSheetId="7" name="_xlnm.Print_Area" vbProcedure="false">Expenses!$A$1:$E$20</definedName>
    <definedName function="false" hidden="false" localSheetId="3" name="_xlnm.Print_Area" vbProcedure="false">Payments!$A$1:$J$30</definedName>
    <definedName function="false" hidden="false" localSheetId="2" name="_xlnm.Print_Area" vbProcedure="false">'Property Report'!$A$1:$F$36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Choose a Property ID from the list.</t>
        </r>
      </text>
    </comment>
  </commentList>
</comments>
</file>

<file path=xl/sharedStrings.xml><?xml version="1.0" encoding="utf-8"?>
<sst xmlns="http://schemas.openxmlformats.org/spreadsheetml/2006/main" count="304" uniqueCount="184">
  <si>
    <t xml:space="preserve">Rental Tracker: handover guide</t>
  </si>
  <si>
    <t xml:space="preserve">Portfolio demo by Rodrigo Matoso. All names, addresses and amounts are fictitious.</t>
  </si>
  <si>
    <t xml:space="preserve">What it does</t>
  </si>
  <si>
    <t xml:space="preserve">Records every rent payment, flags anything late or partial, applies late fees automatically, calculates each shareholder's return, and prints a one-page report per property.</t>
  </si>
  <si>
    <t xml:space="preserve">Daily use (2 minutes)</t>
  </si>
  <si>
    <t xml:space="preserve">1</t>
  </si>
  <si>
    <t xml:space="preserve">Payments tab: add a row per payment received. Type only the blue columns: date, tenancy ID (drop-down), rent period (1st of the month it pays), amounts, method.</t>
  </si>
  <si>
    <t xml:space="preserve">2</t>
  </si>
  <si>
    <t xml:space="preserve">Expenses tab: add any cost paid for a property.</t>
  </si>
  <si>
    <t xml:space="preserve">3</t>
  </si>
  <si>
    <t xml:space="preserve">Dashboard: arrears, collection rate and the next distribution update instantly.</t>
  </si>
  <si>
    <t xml:space="preserve">Monthly / quarterly</t>
  </si>
  <si>
    <t xml:space="preserve">4</t>
  </si>
  <si>
    <t xml:space="preserve">Property Report: pick a property in the yellow cell and print or export to PDF.</t>
  </si>
  <si>
    <t xml:space="preserve">5</t>
  </si>
  <si>
    <t xml:space="preserve">When you pay shareholders, record it in Distributions. 'Next distribution' drops to zero for what was paid.</t>
  </si>
  <si>
    <t xml:space="preserve">How arrears are calculated</t>
  </si>
  <si>
    <t xml:space="preserve">Rent Schedule creates one line per tenancy per month. Balance = rent due + late fee - rent paid - fee paid. A late fee applies when payment arrives after the due date plus the grace days set in Tenancies.</t>
  </si>
  <si>
    <t xml:space="preserve">Status colours: green Paid, yellow Paid late, amber Partial / Fee due, red Overdue.</t>
  </si>
  <si>
    <t xml:space="preserve">How shareholder returns work</t>
  </si>
  <si>
    <t xml:space="preserve">Net income per property = collected - expenses - management fee (Settings). Each shareholder earns their ownership % of each property's net income, so returns vary by property performance.</t>
  </si>
  <si>
    <t xml:space="preserve">Adding a new tenancy or month</t>
  </si>
  <si>
    <t xml:space="preserve">Add the tenancy in Tenancies, then add its monthly lines in Rent Schedule (copy an existing block and change the Tenancy ID and Period). In the Google Sheets version this is generated automatically with ARRAYFORMULA.</t>
  </si>
  <si>
    <t xml:space="preserve">Colour code</t>
  </si>
  <si>
    <t xml:space="preserve">Blue text = typed input. Green text = pulled from another tab. Black = formula. Yellow fill = setting you may change.</t>
  </si>
  <si>
    <t xml:space="preserve">Optional alerts</t>
  </si>
  <si>
    <t xml:space="preserve">The companion Apps Script (rental_tracker_alerts.gs) emails a list of overdue items every morning when the file is used in Google Sheets.</t>
  </si>
  <si>
    <t xml:space="preserve">Rental Portfolio Dashboard</t>
  </si>
  <si>
    <t xml:space="preserve">Demo portfolio with fictitious data. Built in Excel / Google Sheets with formulas only.</t>
  </si>
  <si>
    <t xml:space="preserve">As of:</t>
  </si>
  <si>
    <t xml:space="preserve">Key figures</t>
  </si>
  <si>
    <t xml:space="preserve">Rent due to date</t>
  </si>
  <si>
    <t xml:space="preserve">Rent collected</t>
  </si>
  <si>
    <t xml:space="preserve">Collection rate</t>
  </si>
  <si>
    <t xml:space="preserve">Total arrears (incl. fees)</t>
  </si>
  <si>
    <t xml:space="preserve">Items needing action</t>
  </si>
  <si>
    <t xml:space="preserve">Next distribution (all shareholders)</t>
  </si>
  <si>
    <t xml:space="preserve">By property</t>
  </si>
  <si>
    <t xml:space="preserve">Property ID</t>
  </si>
  <si>
    <t xml:space="preserve">Address</t>
  </si>
  <si>
    <t xml:space="preserve">Rent due to date (£)</t>
  </si>
  <si>
    <t xml:space="preserve">Collected (£)</t>
  </si>
  <si>
    <t xml:space="preserve">Arrears (£)</t>
  </si>
  <si>
    <t xml:space="preserve">Expenses (£)</t>
  </si>
  <si>
    <t xml:space="preserve">Mgmt fee (£)</t>
  </si>
  <si>
    <t xml:space="preserve">Net income (£)</t>
  </si>
  <si>
    <t xml:space="preserve">Status</t>
  </si>
  <si>
    <t xml:space="preserve">Total</t>
  </si>
  <si>
    <t xml:space="preserve">Shareholders</t>
  </si>
  <si>
    <t xml:space="preserve">Shareholder</t>
  </si>
  <si>
    <t xml:space="preserve">Earned to date (£)</t>
  </si>
  <si>
    <t xml:space="preserve">Distributed (£)</t>
  </si>
  <si>
    <t xml:space="preserve">Next distribution (£)</t>
  </si>
  <si>
    <t xml:space="preserve">Property report</t>
  </si>
  <si>
    <t xml:space="preserve">Pick a property in the yellow cell. The page is laid out to print on one A4 sheet.</t>
  </si>
  <si>
    <t xml:space="preserve">Property</t>
  </si>
  <si>
    <t xml:space="preserve">P04</t>
  </si>
  <si>
    <t xml:space="preserve">Tenant</t>
  </si>
  <si>
    <t xml:space="preserve">Monthly rent</t>
  </si>
  <si>
    <t xml:space="preserve">Tenancy ends</t>
  </si>
  <si>
    <t xml:space="preserve">Report date</t>
  </si>
  <si>
    <t xml:space="preserve">Monthly history</t>
  </si>
  <si>
    <t xml:space="preserve">Period</t>
  </si>
  <si>
    <t xml:space="preserve">Rent due (£)</t>
  </si>
  <si>
    <t xml:space="preserve">Paid (£)</t>
  </si>
  <si>
    <t xml:space="preserve">Late fee charged (£)</t>
  </si>
  <si>
    <t xml:space="preserve">Balance (£)</t>
  </si>
  <si>
    <t xml:space="preserve">Income &amp; expenses to date</t>
  </si>
  <si>
    <t xml:space="preserve">Rent and fees collected</t>
  </si>
  <si>
    <t xml:space="preserve">Less: Repairs &amp; maintenance</t>
  </si>
  <si>
    <t xml:space="preserve">Less: Insurance</t>
  </si>
  <si>
    <t xml:space="preserve">Less: Service charge</t>
  </si>
  <si>
    <t xml:space="preserve">Less: Compliance &amp; safety</t>
  </si>
  <si>
    <t xml:space="preserve">Less: Letting fees</t>
  </si>
  <si>
    <t xml:space="preserve">Less: Other</t>
  </si>
  <si>
    <t xml:space="preserve">Less: management fee</t>
  </si>
  <si>
    <t xml:space="preserve">Net income</t>
  </si>
  <si>
    <t xml:space="preserve">Shareholder split for this property</t>
  </si>
  <si>
    <t xml:space="preserve">Ownership %</t>
  </si>
  <si>
    <t xml:space="preserve">Share of net income (£)</t>
  </si>
  <si>
    <t xml:space="preserve">Payments ledger</t>
  </si>
  <si>
    <t xml:space="preserve">Add one row per payment received. Only the blue columns are typed; grey columns fill in automatically.</t>
  </si>
  <si>
    <t xml:space="preserve">Date received</t>
  </si>
  <si>
    <t xml:space="preserve">Tenancy ID</t>
  </si>
  <si>
    <t xml:space="preserve">Rent period (1st of month)</t>
  </si>
  <si>
    <t xml:space="preserve">Rent amount (£)</t>
  </si>
  <si>
    <t xml:space="preserve">Late fee paid (£)</t>
  </si>
  <si>
    <t xml:space="preserve">Method</t>
  </si>
  <si>
    <t xml:space="preserve">Period status</t>
  </si>
  <si>
    <t xml:space="preserve">Notes</t>
  </si>
  <si>
    <t xml:space="preserve">T01</t>
  </si>
  <si>
    <t xml:space="preserve">Standing order</t>
  </si>
  <si>
    <t xml:space="preserve">T03</t>
  </si>
  <si>
    <t xml:space="preserve">Bank transfer</t>
  </si>
  <si>
    <t xml:space="preserve">T02</t>
  </si>
  <si>
    <t xml:space="preserve">T04</t>
  </si>
  <si>
    <t xml:space="preserve">Tenant paid in two parts</t>
  </si>
  <si>
    <t xml:space="preserve">Balance; late fee still owed</t>
  </si>
  <si>
    <t xml:space="preserve">Paid 10 days late incl. late fee</t>
  </si>
  <si>
    <t xml:space="preserve">Partial: tenant promised balance</t>
  </si>
  <si>
    <t xml:space="preserve">Rent schedule &amp; arrears</t>
  </si>
  <si>
    <t xml:space="preserve">One row per tenancy per month. Everything here is calculated: do not type in this tab.</t>
  </si>
  <si>
    <t xml:space="preserve">Due date</t>
  </si>
  <si>
    <t xml:space="preserve">Rent paid (£)</t>
  </si>
  <si>
    <t xml:space="preserve">Last payment</t>
  </si>
  <si>
    <t xml:space="preserve">Days late</t>
  </si>
  <si>
    <t xml:space="preserve">Late fee due (£)</t>
  </si>
  <si>
    <t xml:space="preserve">Tenancies</t>
  </si>
  <si>
    <t xml:space="preserve">Rent, due day, grace period and late fee per tenancy (fictitious tenants).</t>
  </si>
  <si>
    <t xml:space="preserve">Start date</t>
  </si>
  <si>
    <t xml:space="preserve">End date</t>
  </si>
  <si>
    <t xml:space="preserve">Monthly rent (£)</t>
  </si>
  <si>
    <t xml:space="preserve">Due day of month</t>
  </si>
  <si>
    <t xml:space="preserve">Grace days</t>
  </si>
  <si>
    <t xml:space="preserve">Late fee (£)</t>
  </si>
  <si>
    <t xml:space="preserve">P01</t>
  </si>
  <si>
    <t xml:space="preserve">J. Carter</t>
  </si>
  <si>
    <t xml:space="preserve">P02</t>
  </si>
  <si>
    <t xml:space="preserve">M. Patel</t>
  </si>
  <si>
    <t xml:space="preserve">P03</t>
  </si>
  <si>
    <t xml:space="preserve">S. Nowak</t>
  </si>
  <si>
    <t xml:space="preserve">A. Okafor</t>
  </si>
  <si>
    <t xml:space="preserve">Properties</t>
  </si>
  <si>
    <t xml:space="preserve">One row per property. The Property ID drives every lookup.</t>
  </si>
  <si>
    <t xml:space="preserve">Type</t>
  </si>
  <si>
    <t xml:space="preserve">Bedrooms</t>
  </si>
  <si>
    <t xml:space="preserve">12 Elm Road, Birmingham B15</t>
  </si>
  <si>
    <t xml:space="preserve">Flat</t>
  </si>
  <si>
    <t xml:space="preserve">Demo data</t>
  </si>
  <si>
    <t xml:space="preserve">48 Oak Street, Birmingham B29</t>
  </si>
  <si>
    <t xml:space="preserve">Terraced house</t>
  </si>
  <si>
    <t xml:space="preserve">7 Canal View, Birmingham B1</t>
  </si>
  <si>
    <t xml:space="preserve">221 Bristol Road, Birmingham B5</t>
  </si>
  <si>
    <t xml:space="preserve">Semi-detached house</t>
  </si>
  <si>
    <t xml:space="preserve">Property expenses</t>
  </si>
  <si>
    <t xml:space="preserve">Costs paid per property (deducted before shareholder returns).</t>
  </si>
  <si>
    <t xml:space="preserve">Date</t>
  </si>
  <si>
    <t xml:space="preserve">Category</t>
  </si>
  <si>
    <t xml:space="preserve">Amount (£)</t>
  </si>
  <si>
    <t xml:space="preserve">Insurance</t>
  </si>
  <si>
    <t xml:space="preserve">Annual landlord policy</t>
  </si>
  <si>
    <t xml:space="preserve">Service charge</t>
  </si>
  <si>
    <t xml:space="preserve">Half-year service charge</t>
  </si>
  <si>
    <t xml:space="preserve">Repairs &amp; maintenance</t>
  </si>
  <si>
    <t xml:space="preserve">Boiler repair</t>
  </si>
  <si>
    <t xml:space="preserve">Compliance &amp; safety</t>
  </si>
  <si>
    <t xml:space="preserve">Gas safety certificate</t>
  </si>
  <si>
    <t xml:space="preserve">EICR follow-up</t>
  </si>
  <si>
    <t xml:space="preserve">Roof tiles after storm</t>
  </si>
  <si>
    <t xml:space="preserve">Letting fees</t>
  </si>
  <si>
    <t xml:space="preserve">Tenancy renewal admin</t>
  </si>
  <si>
    <t xml:space="preserve">Ownership &amp; shareholder returns</t>
  </si>
  <si>
    <t xml:space="preserve">Each shareholder's return varies by the properties they own and how each property performs.</t>
  </si>
  <si>
    <t xml:space="preserve">R. Hughes %</t>
  </si>
  <si>
    <t xml:space="preserve">L. Bennett %</t>
  </si>
  <si>
    <t xml:space="preserve">K. Shah %</t>
  </si>
  <si>
    <t xml:space="preserve">Check (must be 100%)</t>
  </si>
  <si>
    <t xml:space="preserve">Shareholder statement</t>
  </si>
  <si>
    <t xml:space="preserve">Earned = sum over properties of (net income x ownership %). Next distribution = earned - already distributed.</t>
  </si>
  <si>
    <t xml:space="preserve">P01 share (£)</t>
  </si>
  <si>
    <t xml:space="preserve">P02 share (£)</t>
  </si>
  <si>
    <t xml:space="preserve">P03 share (£)</t>
  </si>
  <si>
    <t xml:space="preserve">P04 share (£)</t>
  </si>
  <si>
    <t xml:space="preserve">R. Hughes</t>
  </si>
  <si>
    <t xml:space="preserve">L. Bennett</t>
  </si>
  <si>
    <t xml:space="preserve">K. Shah</t>
  </si>
  <si>
    <t xml:space="preserve">Distributions paid</t>
  </si>
  <si>
    <t xml:space="preserve">Record every payout to a shareholder.</t>
  </si>
  <si>
    <t xml:space="preserve">Q3 payout</t>
  </si>
  <si>
    <t xml:space="preserve">Settings</t>
  </si>
  <si>
    <t xml:space="preserve">Blue text on yellow = inputs you can change</t>
  </si>
  <si>
    <t xml:space="preserve">As-of date</t>
  </si>
  <si>
    <t xml:space="preserve">Demo uses a fixed date so the numbers stay stable. In live use replace with =TODAY().</t>
  </si>
  <si>
    <t xml:space="preserve">Management fee (% of rent collected)</t>
  </si>
  <si>
    <t xml:space="preserve">Assumption for the demo: fee kept by the managing agent before shareholder distributions.</t>
  </si>
  <si>
    <t xml:space="preserve">Currency</t>
  </si>
  <si>
    <t xml:space="preserve">GBP (£)</t>
  </si>
  <si>
    <t xml:space="preserve">Display only.</t>
  </si>
  <si>
    <t xml:space="preserve">Lists used in drop-downs</t>
  </si>
  <si>
    <t xml:space="preserve">Payment method</t>
  </si>
  <si>
    <t xml:space="preserve">Expense category</t>
  </si>
  <si>
    <t xml:space="preserve">Card</t>
  </si>
  <si>
    <t xml:space="preserve">Cash</t>
  </si>
  <si>
    <t xml:space="preserve">Other</t>
  </si>
</sst>
</file>

<file path=xl/styles.xml><?xml version="1.0" encoding="utf-8"?>
<styleSheet xmlns="http://schemas.openxmlformats.org/spreadsheetml/2006/main">
  <numFmts count="7">
    <numFmt numFmtId="164" formatCode="General"/>
    <numFmt numFmtId="165" formatCode="dd\-mmm\-yyyy"/>
    <numFmt numFmtId="166" formatCode="\£#,##0;&quot;(£&quot;#,##0\);\-"/>
    <numFmt numFmtId="167" formatCode="0.0%;\(0.0%\);\-"/>
    <numFmt numFmtId="168" formatCode="0"/>
    <numFmt numFmtId="169" formatCode="mmm\-yyyy"/>
    <numFmt numFmtId="170" formatCode="\£#,##0.00;&quot;(£&quot;#,##0.00\);\-"/>
  </numFmts>
  <fonts count="17">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666666"/>
      <name val="Arial"/>
      <family val="0"/>
      <charset val="1"/>
    </font>
    <font>
      <b val="true"/>
      <sz val="11"/>
      <color rgb="FF1F3A5F"/>
      <name val="Arial"/>
      <family val="0"/>
      <charset val="1"/>
    </font>
    <font>
      <b val="true"/>
      <sz val="10"/>
      <name val="Arial"/>
      <family val="0"/>
      <charset val="1"/>
    </font>
    <font>
      <sz val="10"/>
      <name val="Arial"/>
      <family val="0"/>
      <charset val="1"/>
    </font>
    <font>
      <sz val="10"/>
      <color rgb="FF008000"/>
      <name val="Arial"/>
      <family val="0"/>
      <charset val="1"/>
    </font>
    <font>
      <b val="true"/>
      <sz val="12"/>
      <color rgb="FF1F3A5F"/>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
      <sz val="10"/>
      <name val="Arial"/>
      <family val="2"/>
    </font>
  </fonts>
  <fills count="6">
    <fill>
      <patternFill patternType="none"/>
    </fill>
    <fill>
      <patternFill patternType="gray125"/>
    </fill>
    <fill>
      <patternFill patternType="solid">
        <fgColor rgb="FFEEF3F8"/>
        <bgColor rgb="FFF2F2F2"/>
      </patternFill>
    </fill>
    <fill>
      <patternFill patternType="solid">
        <fgColor rgb="FF1F3A5F"/>
        <bgColor rgb="FF333333"/>
      </patternFill>
    </fill>
    <fill>
      <patternFill patternType="solid">
        <fgColor rgb="FFFFF9DB"/>
        <bgColor rgb="FFFFF6CC"/>
      </patternFill>
    </fill>
    <fill>
      <patternFill patternType="solid">
        <fgColor rgb="FFF2F2F2"/>
        <bgColor rgb="FFEEF3F8"/>
      </patternFill>
    </fill>
  </fills>
  <borders count="2">
    <border diagonalUp="false" diagonalDown="false">
      <left/>
      <right/>
      <top/>
      <bottom/>
      <diagonal/>
    </border>
    <border diagonalUp="false" diagonalDown="false">
      <left style="thin">
        <color rgb="FFD0D7E1"/>
      </left>
      <right style="thin">
        <color rgb="FFD0D7E1"/>
      </right>
      <top style="thin">
        <color rgb="FFD0D7E1"/>
      </top>
      <bottom style="thin">
        <color rgb="FFD0D7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6" fontId="10" fillId="2" borderId="1" xfId="0" applyFont="true" applyBorder="true" applyAlignment="false" applyProtection="false">
      <alignment horizontal="general" vertical="bottom" textRotation="0" wrapText="false" indent="0" shrinkToFit="false"/>
      <protection locked="true" hidden="false"/>
    </xf>
    <xf numFmtId="167" fontId="10" fillId="2"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b val="1"/>
        <color rgb="FFC00000"/>
        <sz val="12"/>
      </font>
    </dxf>
    <dxf>
      <font>
        <name val="Arial"/>
        <charset val="1"/>
        <family val="0"/>
        <b val="1"/>
        <color rgb="FFC00000"/>
      </font>
      <fill>
        <patternFill>
          <bgColor rgb="FFF8D7DA"/>
        </patternFill>
      </fill>
    </dxf>
    <dxf>
      <fill>
        <patternFill>
          <bgColor rgb="FFD4EDDA"/>
        </patternFill>
      </fill>
    </dxf>
    <dxf>
      <font>
        <name val="Arial"/>
        <charset val="1"/>
        <family val="0"/>
        <b val="1"/>
        <color rgb="FFC00000"/>
      </font>
    </dxf>
    <dxf>
      <fill>
        <patternFill>
          <bgColor rgb="FFF8D7DA"/>
        </patternFill>
      </fill>
    </dxf>
    <dxf>
      <fill>
        <patternFill>
          <bgColor rgb="FFFFE8B3"/>
        </patternFill>
      </fill>
    </dxf>
    <dxf>
      <fill>
        <patternFill>
          <bgColor rgb="FFFFF6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C0504D"/>
      <rgbColor rgb="FFFFF9DB"/>
      <rgbColor rgb="FFEEF3F8"/>
      <rgbColor rgb="FF660066"/>
      <rgbColor rgb="FFFF8080"/>
      <rgbColor rgb="FF0066CC"/>
      <rgbColor rgb="FFD0D7E1"/>
      <rgbColor rgb="FF000080"/>
      <rgbColor rgb="FFFF00FF"/>
      <rgbColor rgb="FFFFFF00"/>
      <rgbColor rgb="FF00FFFF"/>
      <rgbColor rgb="FF800080"/>
      <rgbColor rgb="FF800000"/>
      <rgbColor rgb="FF008080"/>
      <rgbColor rgb="FF0000FF"/>
      <rgbColor rgb="FF00CCFF"/>
      <rgbColor rgb="FFF2F2F2"/>
      <rgbColor rgb="FFD4EDDA"/>
      <rgbColor rgb="FFFFF6CC"/>
      <rgbColor rgb="FF99CCFF"/>
      <rgbColor rgb="FFF8D7DA"/>
      <rgbColor rgb="FFCC99FF"/>
      <rgbColor rgb="FFFFE8B3"/>
      <rgbColor rgb="FF4F81BD"/>
      <rgbColor rgb="FF33CCCC"/>
      <rgbColor rgb="FF99CC00"/>
      <rgbColor rgb="FFFFCC00"/>
      <rgbColor rgb="FFFF9900"/>
      <rgbColor rgb="FFFF6600"/>
      <rgbColor rgb="FF666666"/>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Collected vs arrears by property</a:t>
            </a:r>
          </a:p>
        </c:rich>
      </c:tx>
      <c:overlay val="0"/>
      <c:spPr>
        <a:noFill/>
        <a:ln w="0">
          <a:noFill/>
        </a:ln>
      </c:spPr>
    </c:title>
    <c:autoTitleDeleted val="0"/>
    <c:plotArea>
      <c:barChart>
        <c:barDir val="col"/>
        <c:grouping val="clustered"/>
        <c:varyColors val="0"/>
        <c:ser>
          <c:idx val="0"/>
          <c:order val="0"/>
          <c:tx>
            <c:strRef>
              <c:f>Dashboard!D15</c:f>
              <c:strCache>
                <c:ptCount val="1"/>
                <c:pt idx="0">
                  <c:v>Collected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Dashboard!$A$16:$A$19</c:f>
              <c:strCache>
                <c:ptCount val="4"/>
                <c:pt idx="0">
                  <c:v>P01</c:v>
                </c:pt>
                <c:pt idx="1">
                  <c:v>P02</c:v>
                </c:pt>
                <c:pt idx="2">
                  <c:v>P03</c:v>
                </c:pt>
                <c:pt idx="3">
                  <c:v>P04</c:v>
                </c:pt>
              </c:strCache>
            </c:strRef>
          </c:cat>
          <c:val>
            <c:numRef>
              <c:f>Dashboard!$D$16:$D$19</c:f>
              <c:numCache>
                <c:formatCode>\£#,##0;"(£"#,##0\);\-</c:formatCode>
                <c:ptCount val="4"/>
                <c:pt idx="0">
                  <c:v>3800</c:v>
                </c:pt>
                <c:pt idx="1">
                  <c:v>5440</c:v>
                </c:pt>
                <c:pt idx="2">
                  <c:v>3125</c:v>
                </c:pt>
                <c:pt idx="3">
                  <c:v>4800</c:v>
                </c:pt>
              </c:numCache>
            </c:numRef>
          </c:val>
        </c:ser>
        <c:ser>
          <c:idx val="1"/>
          <c:order val="1"/>
          <c:tx>
            <c:strRef>
              <c:f>Dashboard!E15</c:f>
              <c:strCache>
                <c:ptCount val="1"/>
                <c:pt idx="0">
                  <c:v>Arrears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Dashboard!$A$16:$A$19</c:f>
              <c:strCache>
                <c:ptCount val="4"/>
                <c:pt idx="0">
                  <c:v>P01</c:v>
                </c:pt>
                <c:pt idx="1">
                  <c:v>P02</c:v>
                </c:pt>
                <c:pt idx="2">
                  <c:v>P03</c:v>
                </c:pt>
                <c:pt idx="3">
                  <c:v>P04</c:v>
                </c:pt>
              </c:strCache>
            </c:strRef>
          </c:cat>
          <c:val>
            <c:numRef>
              <c:f>Dashboard!$E$16:$E$19</c:f>
              <c:numCache>
                <c:formatCode>\£#,##0;"(£"#,##0\);\-</c:formatCode>
                <c:ptCount val="4"/>
                <c:pt idx="0">
                  <c:v>50</c:v>
                </c:pt>
                <c:pt idx="1">
                  <c:v>0</c:v>
                </c:pt>
                <c:pt idx="2">
                  <c:v>410</c:v>
                </c:pt>
                <c:pt idx="3">
                  <c:v>1675</c:v>
                </c:pt>
              </c:numCache>
            </c:numRef>
          </c:val>
        </c:ser>
        <c:gapWidth val="150"/>
        <c:overlap val="0"/>
        <c:axId val="31769052"/>
        <c:axId val="54893715"/>
      </c:barChart>
      <c:catAx>
        <c:axId val="317690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93715"/>
        <c:crosses val="autoZero"/>
        <c:auto val="1"/>
        <c:lblAlgn val="ctr"/>
        <c:lblOffset val="100"/>
        <c:noMultiLvlLbl val="0"/>
      </c:catAx>
      <c:valAx>
        <c:axId val="5489371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690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130680</xdr:rowOff>
    </xdr:from>
    <xdr:to>
      <xdr:col>3</xdr:col>
      <xdr:colOff>50400</xdr:colOff>
      <xdr:row>41</xdr:row>
      <xdr:rowOff>163440</xdr:rowOff>
    </xdr:to>
    <xdr:graphicFrame>
      <xdr:nvGraphicFramePr>
        <xdr:cNvPr id="0" name="Chart 1"/>
        <xdr:cNvGraphicFramePr/>
      </xdr:nvGraphicFramePr>
      <xdr:xfrm>
        <a:off x="0" y="571500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c r="B5" s="5" t="s">
        <v>3</v>
      </c>
    </row>
    <row r="6" customFormat="false" ht="15" hidden="false" customHeight="false" outlineLevel="0" collapsed="false">
      <c r="A6" s="3" t="s">
        <v>4</v>
      </c>
    </row>
    <row r="7" customFormat="false" ht="30" hidden="false" customHeight="true" outlineLevel="0" collapsed="false">
      <c r="A7" s="4" t="s">
        <v>5</v>
      </c>
      <c r="B7" s="5" t="s">
        <v>6</v>
      </c>
    </row>
    <row r="8" customFormat="false" ht="15" hidden="false" customHeight="true" outlineLevel="0" collapsed="false">
      <c r="A8" s="4" t="s">
        <v>7</v>
      </c>
      <c r="B8" s="5" t="s">
        <v>8</v>
      </c>
    </row>
    <row r="9" customFormat="false" ht="15" hidden="false" customHeight="true" outlineLevel="0" collapsed="false">
      <c r="A9" s="4" t="s">
        <v>9</v>
      </c>
      <c r="B9" s="5" t="s">
        <v>10</v>
      </c>
    </row>
    <row r="10" customFormat="false" ht="15" hidden="false" customHeight="false" outlineLevel="0" collapsed="false">
      <c r="A10" s="3" t="s">
        <v>11</v>
      </c>
    </row>
    <row r="11" customFormat="false" ht="15" hidden="false" customHeight="true" outlineLevel="0" collapsed="false">
      <c r="A11" s="4" t="s">
        <v>12</v>
      </c>
      <c r="B11" s="5" t="s">
        <v>13</v>
      </c>
    </row>
    <row r="12" customFormat="false" ht="30" hidden="false" customHeight="true" outlineLevel="0" collapsed="false">
      <c r="A12" s="4" t="s">
        <v>14</v>
      </c>
      <c r="B12" s="5" t="s">
        <v>15</v>
      </c>
    </row>
    <row r="13" customFormat="false" ht="15" hidden="false" customHeight="false" outlineLevel="0" collapsed="false">
      <c r="A13" s="3" t="s">
        <v>16</v>
      </c>
    </row>
    <row r="14" customFormat="false" ht="45" hidden="false" customHeight="true" outlineLevel="0" collapsed="false">
      <c r="A14" s="4"/>
      <c r="B14" s="5" t="s">
        <v>17</v>
      </c>
    </row>
    <row r="15" customFormat="false" ht="15" hidden="false" customHeight="true" outlineLevel="0" collapsed="false">
      <c r="A15" s="4"/>
      <c r="B15" s="5" t="s">
        <v>18</v>
      </c>
    </row>
    <row r="16" customFormat="false" ht="15" hidden="false" customHeight="false" outlineLevel="0" collapsed="false">
      <c r="A16" s="3" t="s">
        <v>19</v>
      </c>
    </row>
    <row r="17" customFormat="false" ht="30" hidden="false" customHeight="true" outlineLevel="0" collapsed="false">
      <c r="A17" s="4"/>
      <c r="B17" s="5" t="s">
        <v>20</v>
      </c>
    </row>
    <row r="18" customFormat="false" ht="15" hidden="false" customHeight="false" outlineLevel="0" collapsed="false">
      <c r="A18" s="3" t="s">
        <v>21</v>
      </c>
    </row>
    <row r="19" customFormat="false" ht="45" hidden="false" customHeight="true" outlineLevel="0" collapsed="false">
      <c r="A19" s="4"/>
      <c r="B19" s="5" t="s">
        <v>22</v>
      </c>
    </row>
    <row r="20" customFormat="false" ht="15" hidden="false" customHeight="false" outlineLevel="0" collapsed="false">
      <c r="A20" s="3" t="s">
        <v>23</v>
      </c>
    </row>
    <row r="21" customFormat="false" ht="30" hidden="false" customHeight="true" outlineLevel="0" collapsed="false">
      <c r="A21" s="4"/>
      <c r="B21" s="5" t="s">
        <v>24</v>
      </c>
    </row>
    <row r="22" customFormat="false" ht="15" hidden="false" customHeight="false" outlineLevel="0" collapsed="false">
      <c r="A22" s="3" t="s">
        <v>25</v>
      </c>
    </row>
    <row r="23" customFormat="false" ht="30" hidden="false" customHeight="true" outlineLevel="0" collapsed="false">
      <c r="A23" s="4"/>
      <c r="B23" s="5" t="s">
        <v>26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2"/>
    <col collapsed="false" customWidth="true" hidden="false" outlineLevel="0" max="3" min="3" style="0" width="15"/>
    <col collapsed="false" customWidth="true" hidden="false" outlineLevel="0" max="4" min="4" style="0" width="14"/>
    <col collapsed="false" customWidth="true" hidden="false" outlineLevel="0" max="7" min="5" style="0" width="13"/>
    <col collapsed="false" customWidth="true" hidden="false" outlineLevel="0" max="8" min="8" style="0" width="14"/>
    <col collapsed="false" customWidth="true" hidden="false" outlineLevel="0" max="9" min="9" style="0" width="12"/>
    <col collapsed="false" customWidth="true" hidden="false" outlineLevel="0" max="10" min="10" style="0" width="10"/>
  </cols>
  <sheetData>
    <row r="1" customFormat="false" ht="19.7" hidden="false" customHeight="false" outlineLevel="0" collapsed="false">
      <c r="A1" s="1" t="s">
        <v>27</v>
      </c>
    </row>
    <row r="2" customFormat="false" ht="15" hidden="false" customHeight="false" outlineLevel="0" collapsed="false">
      <c r="A2" s="2" t="s">
        <v>28</v>
      </c>
    </row>
    <row r="3" customFormat="false" ht="15" hidden="false" customHeight="false" outlineLevel="0" collapsed="false">
      <c r="A3" s="6" t="s">
        <v>29</v>
      </c>
      <c r="B3" s="7" t="n">
        <f aca="false">Settings!$B$4</f>
        <v>46318</v>
      </c>
    </row>
    <row r="5" customFormat="false" ht="15" hidden="false" customHeight="false" outlineLevel="0" collapsed="false">
      <c r="A5" s="6" t="s">
        <v>30</v>
      </c>
    </row>
    <row r="6" customFormat="false" ht="15" hidden="false" customHeight="false" outlineLevel="0" collapsed="false">
      <c r="A6" s="8" t="s">
        <v>31</v>
      </c>
      <c r="B6" s="9" t="n">
        <f aca="false">SUMIFS('Rent Schedule'!$F$5:$F$28,'Rent Schedule'!$E$5:$E$28,"&lt;="&amp;Settings!$B$4)</f>
        <v>19100</v>
      </c>
    </row>
    <row r="7" customFormat="false" ht="15" hidden="false" customHeight="false" outlineLevel="0" collapsed="false">
      <c r="A7" s="8" t="s">
        <v>32</v>
      </c>
      <c r="B7" s="9" t="n">
        <f aca="false">SUM('Rent Schedule'!$G$5:$G$28)</f>
        <v>17125</v>
      </c>
    </row>
    <row r="8" customFormat="false" ht="15" hidden="false" customHeight="false" outlineLevel="0" collapsed="false">
      <c r="A8" s="8" t="s">
        <v>33</v>
      </c>
      <c r="B8" s="10" t="n">
        <f aca="false">IF(B6=0,0,MIN(B6,B7)/B6)</f>
        <v>0.896596858638744</v>
      </c>
    </row>
    <row r="9" customFormat="false" ht="15" hidden="false" customHeight="false" outlineLevel="0" collapsed="false">
      <c r="A9" s="8" t="s">
        <v>34</v>
      </c>
      <c r="B9" s="9" t="n">
        <f aca="false">SUM('Rent Schedule'!$L$5:$L$28)</f>
        <v>2135</v>
      </c>
    </row>
    <row r="10" customFormat="false" ht="15" hidden="false" customHeight="false" outlineLevel="0" collapsed="false">
      <c r="A10" s="8" t="s">
        <v>35</v>
      </c>
      <c r="B10" s="11" t="n">
        <f aca="false">COUNTIF('Rent Schedule'!$M$5:$M$28,"Overdue")+COUNTIF('Rent Schedule'!$M$5:$M$28,"Partial")+COUNTIF('Rent Schedule'!$M$5:$M$28,"Fee due")</f>
        <v>3</v>
      </c>
    </row>
    <row r="11" customFormat="false" ht="15" hidden="false" customHeight="false" outlineLevel="0" collapsed="false">
      <c r="A11" s="8" t="s">
        <v>36</v>
      </c>
      <c r="B11" s="9" t="n">
        <f aca="false">Ownership!H18</f>
        <v>8556.8</v>
      </c>
    </row>
    <row r="14" customFormat="false" ht="15" hidden="false" customHeight="false" outlineLevel="0" collapsed="false">
      <c r="A14" s="6" t="s">
        <v>37</v>
      </c>
    </row>
    <row r="15" customFormat="false" ht="30" hidden="false" customHeight="true" outlineLevel="0" collapsed="false">
      <c r="A15" s="12" t="s">
        <v>38</v>
      </c>
      <c r="B15" s="12" t="s">
        <v>39</v>
      </c>
      <c r="C15" s="12" t="s">
        <v>40</v>
      </c>
      <c r="D15" s="12" t="s">
        <v>41</v>
      </c>
      <c r="E15" s="12" t="s">
        <v>42</v>
      </c>
      <c r="F15" s="12" t="s">
        <v>43</v>
      </c>
      <c r="G15" s="12" t="s">
        <v>44</v>
      </c>
      <c r="H15" s="12" t="s">
        <v>45</v>
      </c>
      <c r="I15" s="12" t="s">
        <v>33</v>
      </c>
      <c r="J15" s="12" t="s">
        <v>46</v>
      </c>
    </row>
    <row r="16" customFormat="false" ht="15" hidden="false" customHeight="false" outlineLevel="0" collapsed="false">
      <c r="A16" s="13" t="str">
        <f aca="false">Properties!A5</f>
        <v>P01</v>
      </c>
      <c r="B16" s="13" t="str">
        <f aca="false">Properties!B5</f>
        <v>12 Elm Road, Birmingham B15</v>
      </c>
      <c r="C16" s="14" t="n">
        <f aca="false">SUMIFS('Rent Schedule'!$F$5:$F$28,'Rent Schedule'!$B$5:$B$28,A16,'Rent Schedule'!$E$5:$E$28,"&lt;="&amp;Settings!$B$4)</f>
        <v>3800</v>
      </c>
      <c r="D16" s="14" t="n">
        <f aca="false">SUMIFS('Rent Schedule'!$G$5:$G$28,'Rent Schedule'!$B$5:$B$28,A16)+SUMIFS('Rent Schedule'!$K$5:$K$28,'Rent Schedule'!$B$5:$B$28,A16)</f>
        <v>3800</v>
      </c>
      <c r="E16" s="14" t="n">
        <f aca="false">SUMIFS('Rent Schedule'!$L$5:$L$28,'Rent Schedule'!$B$5:$B$28,A16)</f>
        <v>50</v>
      </c>
      <c r="F16" s="14" t="n">
        <f aca="false">SUMIFS(Expenses!$D$5:$D$104,Expenses!$B$5:$B$104,A16,Expenses!$A$5:$A$104,"&lt;="&amp;Settings!$B$4)</f>
        <v>300</v>
      </c>
      <c r="G16" s="14" t="n">
        <f aca="false">D16*Settings!$B$5</f>
        <v>304</v>
      </c>
      <c r="H16" s="14" t="n">
        <f aca="false">D16-F16-G16</f>
        <v>3196</v>
      </c>
      <c r="I16" s="15" t="n">
        <f aca="false">IF(C16=0,0,MIN(1,SUMIFS('Rent Schedule'!$G$5:$G$28,'Rent Schedule'!$B$5:$B$28,A16)/C16))</f>
        <v>1</v>
      </c>
      <c r="J16" s="16" t="str">
        <f aca="false">IF(E16&gt;0,"Arrears","OK")</f>
        <v>Arrears</v>
      </c>
    </row>
    <row r="17" customFormat="false" ht="15" hidden="false" customHeight="false" outlineLevel="0" collapsed="false">
      <c r="A17" s="13" t="str">
        <f aca="false">Properties!A6</f>
        <v>P02</v>
      </c>
      <c r="B17" s="13" t="str">
        <f aca="false">Properties!B6</f>
        <v>48 Oak Street, Birmingham B29</v>
      </c>
      <c r="C17" s="14" t="n">
        <f aca="false">SUMIFS('Rent Schedule'!$F$5:$F$28,'Rent Schedule'!$B$5:$B$28,A17,'Rent Schedule'!$E$5:$E$28,"&lt;="&amp;Settings!$B$4)</f>
        <v>5400</v>
      </c>
      <c r="D17" s="14" t="n">
        <f aca="false">SUMIFS('Rent Schedule'!$G$5:$G$28,'Rent Schedule'!$B$5:$B$28,A17)+SUMIFS('Rent Schedule'!$K$5:$K$28,'Rent Schedule'!$B$5:$B$28,A17)</f>
        <v>5440</v>
      </c>
      <c r="E17" s="14" t="n">
        <f aca="false">SUMIFS('Rent Schedule'!$L$5:$L$28,'Rent Schedule'!$B$5:$B$28,A17)</f>
        <v>0</v>
      </c>
      <c r="F17" s="14" t="n">
        <f aca="false">SUMIFS(Expenses!$D$5:$D$104,Expenses!$B$5:$B$104,A17,Expenses!$A$5:$A$104,"&lt;="&amp;Settings!$B$4)</f>
        <v>495</v>
      </c>
      <c r="G17" s="14" t="n">
        <f aca="false">D17*Settings!$B$5</f>
        <v>435.2</v>
      </c>
      <c r="H17" s="14" t="n">
        <f aca="false">D17-F17-G17</f>
        <v>4509.8</v>
      </c>
      <c r="I17" s="15" t="n">
        <f aca="false">IF(C17=0,0,MIN(1,SUMIFS('Rent Schedule'!$G$5:$G$28,'Rent Schedule'!$B$5:$B$28,A17)/C17))</f>
        <v>1</v>
      </c>
      <c r="J17" s="16" t="str">
        <f aca="false">IF(E17&gt;0,"Arrears","OK")</f>
        <v>OK</v>
      </c>
    </row>
    <row r="18" customFormat="false" ht="15" hidden="false" customHeight="false" outlineLevel="0" collapsed="false">
      <c r="A18" s="13" t="str">
        <f aca="false">Properties!A7</f>
        <v>P03</v>
      </c>
      <c r="B18" s="13" t="str">
        <f aca="false">Properties!B7</f>
        <v>7 Canal View, Birmingham B1</v>
      </c>
      <c r="C18" s="14" t="n">
        <f aca="false">SUMIFS('Rent Schedule'!$F$5:$F$28,'Rent Schedule'!$B$5:$B$28,A18,'Rent Schedule'!$E$5:$E$28,"&lt;="&amp;Settings!$B$4)</f>
        <v>3500</v>
      </c>
      <c r="D18" s="14" t="n">
        <f aca="false">SUMIFS('Rent Schedule'!$G$5:$G$28,'Rent Schedule'!$B$5:$B$28,A18)+SUMIFS('Rent Schedule'!$K$5:$K$28,'Rent Schedule'!$B$5:$B$28,A18)</f>
        <v>3125</v>
      </c>
      <c r="E18" s="14" t="n">
        <f aca="false">SUMIFS('Rent Schedule'!$L$5:$L$28,'Rent Schedule'!$B$5:$B$28,A18)</f>
        <v>410</v>
      </c>
      <c r="F18" s="14" t="n">
        <f aca="false">SUMIFS(Expenses!$D$5:$D$104,Expenses!$B$5:$B$104,A18,Expenses!$A$5:$A$104,"&lt;="&amp;Settings!$B$4)</f>
        <v>600</v>
      </c>
      <c r="G18" s="14" t="n">
        <f aca="false">D18*Settings!$B$5</f>
        <v>250</v>
      </c>
      <c r="H18" s="14" t="n">
        <f aca="false">D18-F18-G18</f>
        <v>2275</v>
      </c>
      <c r="I18" s="15" t="n">
        <f aca="false">IF(C18=0,0,MIN(1,SUMIFS('Rent Schedule'!$G$5:$G$28,'Rent Schedule'!$B$5:$B$28,A18)/C18))</f>
        <v>0.892857142857143</v>
      </c>
      <c r="J18" s="16" t="str">
        <f aca="false">IF(E18&gt;0,"Arrears","OK")</f>
        <v>Arrears</v>
      </c>
    </row>
    <row r="19" customFormat="false" ht="15" hidden="false" customHeight="false" outlineLevel="0" collapsed="false">
      <c r="A19" s="13" t="str">
        <f aca="false">Properties!A8</f>
        <v>P04</v>
      </c>
      <c r="B19" s="13" t="str">
        <f aca="false">Properties!B8</f>
        <v>221 Bristol Road, Birmingham B5</v>
      </c>
      <c r="C19" s="14" t="n">
        <f aca="false">SUMIFS('Rent Schedule'!$F$5:$F$28,'Rent Schedule'!$B$5:$B$28,A19,'Rent Schedule'!$E$5:$E$28,"&lt;="&amp;Settings!$B$4)</f>
        <v>6400</v>
      </c>
      <c r="D19" s="14" t="n">
        <f aca="false">SUMIFS('Rent Schedule'!$G$5:$G$28,'Rent Schedule'!$B$5:$B$28,A19)+SUMIFS('Rent Schedule'!$K$5:$K$28,'Rent Schedule'!$B$5:$B$28,A19)</f>
        <v>4800</v>
      </c>
      <c r="E19" s="14" t="n">
        <f aca="false">SUMIFS('Rent Schedule'!$L$5:$L$28,'Rent Schedule'!$B$5:$B$28,A19)</f>
        <v>1675</v>
      </c>
      <c r="F19" s="14" t="n">
        <f aca="false">SUMIFS(Expenses!$D$5:$D$104,Expenses!$B$5:$B$104,A19,Expenses!$A$5:$A$104,"&lt;="&amp;Settings!$B$4)</f>
        <v>940</v>
      </c>
      <c r="G19" s="14" t="n">
        <f aca="false">D19*Settings!$B$5</f>
        <v>384</v>
      </c>
      <c r="H19" s="14" t="n">
        <f aca="false">D19-F19-G19</f>
        <v>3476</v>
      </c>
      <c r="I19" s="15" t="n">
        <f aca="false">IF(C19=0,0,MIN(1,SUMIFS('Rent Schedule'!$G$5:$G$28,'Rent Schedule'!$B$5:$B$28,A19)/C19))</f>
        <v>0.75</v>
      </c>
      <c r="J19" s="16" t="str">
        <f aca="false">IF(E19&gt;0,"Arrears","OK")</f>
        <v>Arrears</v>
      </c>
    </row>
    <row r="20" customFormat="false" ht="15" hidden="false" customHeight="false" outlineLevel="0" collapsed="false">
      <c r="A20" s="17" t="s">
        <v>47</v>
      </c>
      <c r="B20" s="16"/>
      <c r="C20" s="18" t="n">
        <f aca="false">SUM(C16:C19)</f>
        <v>19100</v>
      </c>
      <c r="D20" s="18" t="n">
        <f aca="false">SUM(D16:D19)</f>
        <v>17165</v>
      </c>
      <c r="E20" s="18" t="n">
        <f aca="false">SUM(E16:E19)</f>
        <v>2135</v>
      </c>
      <c r="F20" s="18" t="n">
        <f aca="false">SUM(F16:F19)</f>
        <v>2335</v>
      </c>
      <c r="G20" s="18" t="n">
        <f aca="false">SUM(G16:G19)</f>
        <v>1373.2</v>
      </c>
      <c r="H20" s="18" t="n">
        <f aca="false">SUM(H16:H19)</f>
        <v>13456.8</v>
      </c>
      <c r="I20" s="19" t="n">
        <f aca="false">IF(C20=0,0,MIN(1,SUM('Rent Schedule'!$G$5:$G$28)/C20))</f>
        <v>0.896596858638744</v>
      </c>
      <c r="J20" s="16"/>
    </row>
    <row r="22" customFormat="false" ht="15" hidden="false" customHeight="false" outlineLevel="0" collapsed="false">
      <c r="A22" s="6" t="s">
        <v>48</v>
      </c>
    </row>
    <row r="23" customFormat="false" ht="30" hidden="false" customHeight="true" outlineLevel="0" collapsed="false">
      <c r="A23" s="12" t="s">
        <v>49</v>
      </c>
      <c r="B23" s="12" t="s">
        <v>50</v>
      </c>
      <c r="C23" s="12" t="s">
        <v>51</v>
      </c>
      <c r="D23" s="12" t="s">
        <v>52</v>
      </c>
    </row>
    <row r="24" customFormat="false" ht="15" hidden="false" customHeight="false" outlineLevel="0" collapsed="false">
      <c r="A24" s="13" t="str">
        <f aca="false">Ownership!A15</f>
        <v>R. Hughes</v>
      </c>
      <c r="B24" s="20" t="n">
        <f aca="false">Ownership!F15</f>
        <v>4583.76</v>
      </c>
      <c r="C24" s="20" t="n">
        <f aca="false">Ownership!G15</f>
        <v>1800</v>
      </c>
      <c r="D24" s="20" t="n">
        <f aca="false">Ownership!H15</f>
        <v>2783.76</v>
      </c>
    </row>
    <row r="25" customFormat="false" ht="15" hidden="false" customHeight="false" outlineLevel="0" collapsed="false">
      <c r="A25" s="13" t="str">
        <f aca="false">Ownership!A16</f>
        <v>L. Bennett</v>
      </c>
      <c r="B25" s="20" t="n">
        <f aca="false">Ownership!F16</f>
        <v>5235.52</v>
      </c>
      <c r="C25" s="20" t="n">
        <f aca="false">Ownership!G16</f>
        <v>1600</v>
      </c>
      <c r="D25" s="20" t="n">
        <f aca="false">Ownership!H16</f>
        <v>3635.52</v>
      </c>
    </row>
    <row r="26" customFormat="false" ht="15" hidden="false" customHeight="false" outlineLevel="0" collapsed="false">
      <c r="A26" s="13" t="str">
        <f aca="false">Ownership!A17</f>
        <v>K. Shah</v>
      </c>
      <c r="B26" s="20" t="n">
        <f aca="false">Ownership!F17</f>
        <v>3637.52</v>
      </c>
      <c r="C26" s="20" t="n">
        <f aca="false">Ownership!G17</f>
        <v>1500</v>
      </c>
      <c r="D26" s="20" t="n">
        <f aca="false">Ownership!H17</f>
        <v>2137.52</v>
      </c>
    </row>
  </sheetData>
  <conditionalFormatting sqref="B9">
    <cfRule type="cellIs" priority="2" operator="greaterThan" aboveAverage="0" equalAverage="0" bottom="0" percent="0" rank="0" text="" dxfId="0">
      <formula>0</formula>
    </cfRule>
  </conditionalFormatting>
  <conditionalFormatting sqref="J16:J19">
    <cfRule type="expression" priority="3" aboveAverage="0" equalAverage="0" bottom="0" percent="0" rank="0" text="" dxfId="1">
      <formula>J16="Arrears"</formula>
    </cfRule>
    <cfRule type="expression" priority="4" aboveAverage="0" equalAverage="0" bottom="0" percent="0" rank="0" text="" dxfId="2">
      <formula>J16="OK"</formula>
    </cfRule>
  </conditionalFormatting>
  <conditionalFormatting sqref="E16:E19">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22"/>
    <col collapsed="false" customWidth="true" hidden="false" outlineLevel="0" max="5" min="4" style="0" width="13"/>
    <col collapsed="false" customWidth="true" hidden="false" outlineLevel="0" max="6" min="6" style="0" width="12"/>
  </cols>
  <sheetData>
    <row r="1" customFormat="false" ht="19.7" hidden="false" customHeight="false" outlineLevel="0" collapsed="false">
      <c r="A1" s="1" t="s">
        <v>53</v>
      </c>
    </row>
    <row r="2" customFormat="false" ht="15" hidden="false" customHeight="false" outlineLevel="0" collapsed="false">
      <c r="A2" s="2" t="s">
        <v>54</v>
      </c>
    </row>
    <row r="4" customFormat="false" ht="15" hidden="false" customHeight="false" outlineLevel="0" collapsed="false">
      <c r="A4" s="17" t="s">
        <v>55</v>
      </c>
      <c r="B4" s="21" t="s">
        <v>56</v>
      </c>
    </row>
    <row r="5" customFormat="false" ht="15" hidden="false" customHeight="false" outlineLevel="0" collapsed="false">
      <c r="A5" s="17" t="s">
        <v>39</v>
      </c>
      <c r="B5" s="13" t="str">
        <f aca="false">IFERROR(INDEX(Properties!$B$5:$B$50,MATCH($B$4,Properties!$A$5:$A$50,0)),"")</f>
        <v>221 Bristol Road, Birmingham B5</v>
      </c>
    </row>
    <row r="6" customFormat="false" ht="15" hidden="false" customHeight="false" outlineLevel="0" collapsed="false">
      <c r="A6" s="17" t="s">
        <v>57</v>
      </c>
      <c r="B6" s="13" t="str">
        <f aca="false">IFERROR(INDEX(Tenancies!$D$5:$D$50,MATCH($B$4,Tenancies!$B$5:$B$50,0)),"Vacant")</f>
        <v>A. Okafor</v>
      </c>
    </row>
    <row r="7" customFormat="false" ht="15" hidden="false" customHeight="false" outlineLevel="0" collapsed="false">
      <c r="A7" s="17" t="s">
        <v>58</v>
      </c>
      <c r="B7" s="20" t="n">
        <f aca="false">IFERROR(INDEX(Tenancies!$G$5:$G$50,MATCH($B$4,Tenancies!$B$5:$B$50,0)),0)</f>
        <v>1600</v>
      </c>
    </row>
    <row r="8" customFormat="false" ht="15" hidden="false" customHeight="false" outlineLevel="0" collapsed="false">
      <c r="A8" s="17" t="s">
        <v>59</v>
      </c>
      <c r="B8" s="22" t="n">
        <f aca="false">IFERROR(INDEX(Tenancies!$F$5:$F$50,MATCH($B$4,Tenancies!$B$5:$B$50,0)),"")</f>
        <v>46335</v>
      </c>
    </row>
    <row r="9" customFormat="false" ht="15" hidden="false" customHeight="false" outlineLevel="0" collapsed="false">
      <c r="A9" s="17" t="s">
        <v>60</v>
      </c>
      <c r="B9" s="22" t="n">
        <f aca="false">Settings!$B$4</f>
        <v>46318</v>
      </c>
    </row>
    <row r="11" customFormat="false" ht="15" hidden="false" customHeight="false" outlineLevel="0" collapsed="false">
      <c r="A11" s="6" t="s">
        <v>61</v>
      </c>
    </row>
    <row r="12" customFormat="false" ht="30" hidden="false" customHeight="true" outlineLevel="0" collapsed="false">
      <c r="A12" s="12" t="s">
        <v>62</v>
      </c>
      <c r="B12" s="12" t="s">
        <v>63</v>
      </c>
      <c r="C12" s="12" t="s">
        <v>64</v>
      </c>
      <c r="D12" s="12" t="s">
        <v>65</v>
      </c>
      <c r="E12" s="12" t="s">
        <v>66</v>
      </c>
      <c r="F12" s="12" t="s">
        <v>46</v>
      </c>
    </row>
    <row r="13" customFormat="false" ht="15" hidden="false" customHeight="false" outlineLevel="0" collapsed="false">
      <c r="A13" s="23" t="n">
        <v>46204</v>
      </c>
      <c r="B13" s="24" t="n">
        <f aca="false">SUMIFS('Rent Schedule'!$F$5:$F$28,'Rent Schedule'!$B$5:$B$28,$B$4,'Rent Schedule'!$D$5:$D$28,A13)</f>
        <v>1600</v>
      </c>
      <c r="C13" s="24" t="n">
        <f aca="false">SUMIFS('Rent Schedule'!$G$5:$G$28,'Rent Schedule'!$B$5:$B$28,$B$4,'Rent Schedule'!$D$5:$D$28,A13)</f>
        <v>1600</v>
      </c>
      <c r="D13" s="24" t="n">
        <f aca="false">SUMIFS('Rent Schedule'!$J$5:$J$28,'Rent Schedule'!$B$5:$B$28,$B$4,'Rent Schedule'!$D$5:$D$28,A13)</f>
        <v>0</v>
      </c>
      <c r="E13" s="24" t="n">
        <f aca="false">SUMIFS('Rent Schedule'!$L$5:$L$28,'Rent Schedule'!$B$5:$B$28,$B$4,'Rent Schedule'!$D$5:$D$28,A13)</f>
        <v>0</v>
      </c>
      <c r="F13" s="16" t="str">
        <f aca="false">IFERROR(INDEX('Rent Schedule'!$M$5:$M$28,MATCH(1,INDEX(('Rent Schedule'!$B$5:$B$28=$B$4)*('Rent Schedule'!$D$5:$D$28=A13),0),0)),"")</f>
        <v>Paid</v>
      </c>
    </row>
    <row r="14" customFormat="false" ht="15" hidden="false" customHeight="false" outlineLevel="0" collapsed="false">
      <c r="A14" s="23" t="n">
        <v>46235</v>
      </c>
      <c r="B14" s="24" t="n">
        <f aca="false">SUMIFS('Rent Schedule'!$F$5:$F$28,'Rent Schedule'!$B$5:$B$28,$B$4,'Rent Schedule'!$D$5:$D$28,A14)</f>
        <v>1600</v>
      </c>
      <c r="C14" s="24" t="n">
        <f aca="false">SUMIFS('Rent Schedule'!$G$5:$G$28,'Rent Schedule'!$B$5:$B$28,$B$4,'Rent Schedule'!$D$5:$D$28,A14)</f>
        <v>1600</v>
      </c>
      <c r="D14" s="24" t="n">
        <f aca="false">SUMIFS('Rent Schedule'!$J$5:$J$28,'Rent Schedule'!$B$5:$B$28,$B$4,'Rent Schedule'!$D$5:$D$28,A14)</f>
        <v>0</v>
      </c>
      <c r="E14" s="24" t="n">
        <f aca="false">SUMIFS('Rent Schedule'!$L$5:$L$28,'Rent Schedule'!$B$5:$B$28,$B$4,'Rent Schedule'!$D$5:$D$28,A14)</f>
        <v>0</v>
      </c>
      <c r="F14" s="16" t="str">
        <f aca="false">IFERROR(INDEX('Rent Schedule'!$M$5:$M$28,MATCH(1,INDEX(('Rent Schedule'!$B$5:$B$28=$B$4)*('Rent Schedule'!$D$5:$D$28=A14),0),0)),"")</f>
        <v>Paid</v>
      </c>
    </row>
    <row r="15" customFormat="false" ht="15" hidden="false" customHeight="false" outlineLevel="0" collapsed="false">
      <c r="A15" s="23" t="n">
        <v>46266</v>
      </c>
      <c r="B15" s="24" t="n">
        <f aca="false">SUMIFS('Rent Schedule'!$F$5:$F$28,'Rent Schedule'!$B$5:$B$28,$B$4,'Rent Schedule'!$D$5:$D$28,A15)</f>
        <v>1600</v>
      </c>
      <c r="C15" s="24" t="n">
        <f aca="false">SUMIFS('Rent Schedule'!$G$5:$G$28,'Rent Schedule'!$B$5:$B$28,$B$4,'Rent Schedule'!$D$5:$D$28,A15)</f>
        <v>1600</v>
      </c>
      <c r="D15" s="24" t="n">
        <f aca="false">SUMIFS('Rent Schedule'!$J$5:$J$28,'Rent Schedule'!$B$5:$B$28,$B$4,'Rent Schedule'!$D$5:$D$28,A15)</f>
        <v>0</v>
      </c>
      <c r="E15" s="24" t="n">
        <f aca="false">SUMIFS('Rent Schedule'!$L$5:$L$28,'Rent Schedule'!$B$5:$B$28,$B$4,'Rent Schedule'!$D$5:$D$28,A15)</f>
        <v>0</v>
      </c>
      <c r="F15" s="16" t="str">
        <f aca="false">IFERROR(INDEX('Rent Schedule'!$M$5:$M$28,MATCH(1,INDEX(('Rent Schedule'!$B$5:$B$28=$B$4)*('Rent Schedule'!$D$5:$D$28=A15),0),0)),"")</f>
        <v>Paid</v>
      </c>
    </row>
    <row r="16" customFormat="false" ht="15" hidden="false" customHeight="false" outlineLevel="0" collapsed="false">
      <c r="A16" s="23" t="n">
        <v>46296</v>
      </c>
      <c r="B16" s="24" t="n">
        <f aca="false">SUMIFS('Rent Schedule'!$F$5:$F$28,'Rent Schedule'!$B$5:$B$28,$B$4,'Rent Schedule'!$D$5:$D$28,A16)</f>
        <v>1600</v>
      </c>
      <c r="C16" s="24" t="n">
        <f aca="false">SUMIFS('Rent Schedule'!$G$5:$G$28,'Rent Schedule'!$B$5:$B$28,$B$4,'Rent Schedule'!$D$5:$D$28,A16)</f>
        <v>0</v>
      </c>
      <c r="D16" s="24" t="n">
        <f aca="false">SUMIFS('Rent Schedule'!$J$5:$J$28,'Rent Schedule'!$B$5:$B$28,$B$4,'Rent Schedule'!$D$5:$D$28,A16)</f>
        <v>75</v>
      </c>
      <c r="E16" s="24" t="n">
        <f aca="false">SUMIFS('Rent Schedule'!$L$5:$L$28,'Rent Schedule'!$B$5:$B$28,$B$4,'Rent Schedule'!$D$5:$D$28,A16)</f>
        <v>1675</v>
      </c>
      <c r="F16" s="16" t="str">
        <f aca="false">IFERROR(INDEX('Rent Schedule'!$M$5:$M$28,MATCH(1,INDEX(('Rent Schedule'!$B$5:$B$28=$B$4)*('Rent Schedule'!$D$5:$D$28=A16),0),0)),"")</f>
        <v>Overdue</v>
      </c>
    </row>
    <row r="17" customFormat="false" ht="15" hidden="false" customHeight="false" outlineLevel="0" collapsed="false">
      <c r="A17" s="23" t="n">
        <v>46327</v>
      </c>
      <c r="B17" s="24" t="n">
        <f aca="false">SUMIFS('Rent Schedule'!$F$5:$F$28,'Rent Schedule'!$B$5:$B$28,$B$4,'Rent Schedule'!$D$5:$D$28,A17)</f>
        <v>1600</v>
      </c>
      <c r="C17" s="24" t="n">
        <f aca="false">SUMIFS('Rent Schedule'!$G$5:$G$28,'Rent Schedule'!$B$5:$B$28,$B$4,'Rent Schedule'!$D$5:$D$28,A17)</f>
        <v>0</v>
      </c>
      <c r="D17" s="24" t="n">
        <f aca="false">SUMIFS('Rent Schedule'!$J$5:$J$28,'Rent Schedule'!$B$5:$B$28,$B$4,'Rent Schedule'!$D$5:$D$28,A17)</f>
        <v>0</v>
      </c>
      <c r="E17" s="24" t="n">
        <f aca="false">SUMIFS('Rent Schedule'!$L$5:$L$28,'Rent Schedule'!$B$5:$B$28,$B$4,'Rent Schedule'!$D$5:$D$28,A17)</f>
        <v>0</v>
      </c>
      <c r="F17" s="16" t="str">
        <f aca="false">IFERROR(INDEX('Rent Schedule'!$M$5:$M$28,MATCH(1,INDEX(('Rent Schedule'!$B$5:$B$28=$B$4)*('Rent Schedule'!$D$5:$D$28=A17),0),0)),"")</f>
        <v>Not due</v>
      </c>
    </row>
    <row r="18" customFormat="false" ht="15" hidden="false" customHeight="false" outlineLevel="0" collapsed="false">
      <c r="A18" s="23" t="n">
        <v>46357</v>
      </c>
      <c r="B18" s="24" t="n">
        <f aca="false">SUMIFS('Rent Schedule'!$F$5:$F$28,'Rent Schedule'!$B$5:$B$28,$B$4,'Rent Schedule'!$D$5:$D$28,A18)</f>
        <v>1600</v>
      </c>
      <c r="C18" s="24" t="n">
        <f aca="false">SUMIFS('Rent Schedule'!$G$5:$G$28,'Rent Schedule'!$B$5:$B$28,$B$4,'Rent Schedule'!$D$5:$D$28,A18)</f>
        <v>0</v>
      </c>
      <c r="D18" s="24" t="n">
        <f aca="false">SUMIFS('Rent Schedule'!$J$5:$J$28,'Rent Schedule'!$B$5:$B$28,$B$4,'Rent Schedule'!$D$5:$D$28,A18)</f>
        <v>0</v>
      </c>
      <c r="E18" s="24" t="n">
        <f aca="false">SUMIFS('Rent Schedule'!$L$5:$L$28,'Rent Schedule'!$B$5:$B$28,$B$4,'Rent Schedule'!$D$5:$D$28,A18)</f>
        <v>0</v>
      </c>
      <c r="F18" s="16" t="str">
        <f aca="false">IFERROR(INDEX('Rent Schedule'!$M$5:$M$28,MATCH(1,INDEX(('Rent Schedule'!$B$5:$B$28=$B$4)*('Rent Schedule'!$D$5:$D$28=A18),0),0)),"")</f>
        <v>Not due</v>
      </c>
    </row>
    <row r="19" customFormat="false" ht="15" hidden="false" customHeight="false" outlineLevel="0" collapsed="false">
      <c r="A19" s="17" t="s">
        <v>47</v>
      </c>
      <c r="B19" s="25" t="n">
        <f aca="false">SUM(B13:B18)</f>
        <v>9600</v>
      </c>
      <c r="C19" s="25" t="n">
        <f aca="false">SUM(C13:C18)</f>
        <v>4800</v>
      </c>
      <c r="D19" s="25" t="n">
        <f aca="false">SUM(D13:D18)</f>
        <v>75</v>
      </c>
      <c r="E19" s="25" t="n">
        <f aca="false">SUM(E13:E18)</f>
        <v>1675</v>
      </c>
      <c r="F19" s="16"/>
    </row>
    <row r="21" customFormat="false" ht="15" hidden="false" customHeight="false" outlineLevel="0" collapsed="false">
      <c r="A21" s="6" t="s">
        <v>67</v>
      </c>
    </row>
    <row r="22" customFormat="false" ht="15" hidden="false" customHeight="false" outlineLevel="0" collapsed="false">
      <c r="A22" s="16" t="s">
        <v>68</v>
      </c>
      <c r="B22" s="24" t="n">
        <f aca="false">INDEX(Dashboard!$D$16:$D$19,MATCH($B$4,Dashboard!$A$16:$A$19,0))</f>
        <v>4800</v>
      </c>
    </row>
    <row r="23" customFormat="false" ht="15" hidden="false" customHeight="false" outlineLevel="0" collapsed="false">
      <c r="A23" s="16" t="s">
        <v>69</v>
      </c>
      <c r="B23" s="24" t="n">
        <f aca="false">-SUMIFS(Expenses!$D$5:$D$104,Expenses!$B$5:$B$104,$B$4,Expenses!$C$5:$C$104,"Repairs &amp; maintenance",Expenses!$A$5:$A$104,"&lt;="&amp;Settings!$B$4)</f>
        <v>-850</v>
      </c>
    </row>
    <row r="24" customFormat="false" ht="15" hidden="false" customHeight="false" outlineLevel="0" collapsed="false">
      <c r="A24" s="16" t="s">
        <v>70</v>
      </c>
      <c r="B24" s="24" t="n">
        <f aca="false">-SUMIFS(Expenses!$D$5:$D$104,Expenses!$B$5:$B$104,$B$4,Expenses!$C$5:$C$104,"Insurance",Expenses!$A$5:$A$104,"&lt;="&amp;Settings!$B$4)</f>
        <v>-0</v>
      </c>
    </row>
    <row r="25" customFormat="false" ht="15" hidden="false" customHeight="false" outlineLevel="0" collapsed="false">
      <c r="A25" s="16" t="s">
        <v>71</v>
      </c>
      <c r="B25" s="24" t="n">
        <f aca="false">-SUMIFS(Expenses!$D$5:$D$104,Expenses!$B$5:$B$104,$B$4,Expenses!$C$5:$C$104,"Service charge",Expenses!$A$5:$A$104,"&lt;="&amp;Settings!$B$4)</f>
        <v>-0</v>
      </c>
    </row>
    <row r="26" customFormat="false" ht="15" hidden="false" customHeight="false" outlineLevel="0" collapsed="false">
      <c r="A26" s="16" t="s">
        <v>72</v>
      </c>
      <c r="B26" s="24" t="n">
        <f aca="false">-SUMIFS(Expenses!$D$5:$D$104,Expenses!$B$5:$B$104,$B$4,Expenses!$C$5:$C$104,"Compliance &amp; safety",Expenses!$A$5:$A$104,"&lt;="&amp;Settings!$B$4)</f>
        <v>-90</v>
      </c>
    </row>
    <row r="27" customFormat="false" ht="15" hidden="false" customHeight="false" outlineLevel="0" collapsed="false">
      <c r="A27" s="16" t="s">
        <v>73</v>
      </c>
      <c r="B27" s="24" t="n">
        <f aca="false">-SUMIFS(Expenses!$D$5:$D$104,Expenses!$B$5:$B$104,$B$4,Expenses!$C$5:$C$104,"Letting fees",Expenses!$A$5:$A$104,"&lt;="&amp;Settings!$B$4)</f>
        <v>-0</v>
      </c>
    </row>
    <row r="28" customFormat="false" ht="15" hidden="false" customHeight="false" outlineLevel="0" collapsed="false">
      <c r="A28" s="16" t="s">
        <v>74</v>
      </c>
      <c r="B28" s="24" t="n">
        <f aca="false">-SUMIFS(Expenses!$D$5:$D$104,Expenses!$B$5:$B$104,$B$4,Expenses!$C$5:$C$104,"Other",Expenses!$A$5:$A$104,"&lt;="&amp;Settings!$B$4)</f>
        <v>-0</v>
      </c>
    </row>
    <row r="29" customFormat="false" ht="15" hidden="false" customHeight="false" outlineLevel="0" collapsed="false">
      <c r="A29" s="16" t="s">
        <v>75</v>
      </c>
      <c r="B29" s="24" t="n">
        <f aca="false">-INDEX(Dashboard!$G$16:$G$19,MATCH($B$4,Dashboard!$A$16:$A$19,0))</f>
        <v>-384</v>
      </c>
    </row>
    <row r="30" customFormat="false" ht="15" hidden="false" customHeight="false" outlineLevel="0" collapsed="false">
      <c r="A30" s="17" t="s">
        <v>76</v>
      </c>
      <c r="B30" s="25" t="n">
        <f aca="false">SUM(B22:B29)</f>
        <v>3476</v>
      </c>
    </row>
    <row r="32" customFormat="false" ht="15" hidden="false" customHeight="false" outlineLevel="0" collapsed="false">
      <c r="A32" s="6" t="s">
        <v>77</v>
      </c>
    </row>
    <row r="33" customFormat="false" ht="30" hidden="false" customHeight="true" outlineLevel="0" collapsed="false">
      <c r="A33" s="12" t="s">
        <v>49</v>
      </c>
      <c r="B33" s="12" t="s">
        <v>78</v>
      </c>
      <c r="C33" s="12" t="s">
        <v>79</v>
      </c>
    </row>
    <row r="34" customFormat="false" ht="15" hidden="false" customHeight="false" outlineLevel="0" collapsed="false">
      <c r="A34" s="13" t="str">
        <f aca="false">Ownership!A15</f>
        <v>R. Hughes</v>
      </c>
      <c r="B34" s="26" t="n">
        <f aca="false">INDEX(Ownership!C$5:C$8,MATCH($B$4,Ownership!$A$5:$A$8,0))</f>
        <v>0.34</v>
      </c>
      <c r="C34" s="24" t="n">
        <f aca="false">B34*$B$30</f>
        <v>1181.84</v>
      </c>
    </row>
    <row r="35" customFormat="false" ht="15" hidden="false" customHeight="false" outlineLevel="0" collapsed="false">
      <c r="A35" s="13" t="str">
        <f aca="false">Ownership!A16</f>
        <v>L. Bennett</v>
      </c>
      <c r="B35" s="26" t="n">
        <f aca="false">INDEX(Ownership!D$5:D$8,MATCH($B$4,Ownership!$A$5:$A$8,0))</f>
        <v>0.33</v>
      </c>
      <c r="C35" s="24" t="n">
        <f aca="false">B35*$B$30</f>
        <v>1147.08</v>
      </c>
    </row>
    <row r="36" customFormat="false" ht="15" hidden="false" customHeight="false" outlineLevel="0" collapsed="false">
      <c r="A36" s="13" t="str">
        <f aca="false">Ownership!A17</f>
        <v>K. Shah</v>
      </c>
      <c r="B36" s="26" t="n">
        <f aca="false">INDEX(Ownership!E$5:E$8,MATCH($B$4,Ownership!$A$5:$A$8,0))</f>
        <v>0.33</v>
      </c>
      <c r="C36" s="24" t="n">
        <f aca="false">B36*$B$30</f>
        <v>1147.08</v>
      </c>
    </row>
  </sheetData>
  <conditionalFormatting sqref="A13:F18">
    <cfRule type="expression" priority="2" aboveAverage="0" equalAverage="0" bottom="0" percent="0" rank="0" text="" dxfId="4">
      <formula>$F13="Overdue"</formula>
    </cfRule>
    <cfRule type="expression" priority="3" aboveAverage="0" equalAverage="0" bottom="0" percent="0" rank="0" text="" dxfId="5">
      <formula>OR($F13="Partial",$F13="Fee due")</formula>
    </cfRule>
  </conditionalFormatting>
  <dataValidations count="1">
    <dataValidation allowBlank="false" errorStyle="stop" operator="between" showDropDown="false" showErrorMessage="false" showInputMessage="false" sqref="B4" type="list">
      <formula1>Properties!$A$5:$A$50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1"/>
    <col collapsed="false" customWidth="true" hidden="false" outlineLevel="0" max="4" min="4" style="0" width="13"/>
    <col collapsed="false" customWidth="true" hidden="false" outlineLevel="0" max="5" min="5" style="0" width="15"/>
    <col collapsed="false" customWidth="true" hidden="false" outlineLevel="0" max="6" min="6" style="0" width="14"/>
    <col collapsed="false" customWidth="true" hidden="false" outlineLevel="0" max="7" min="7" style="0" width="13"/>
    <col collapsed="false" customWidth="true" hidden="false" outlineLevel="0" max="8" min="8" style="0" width="16"/>
    <col collapsed="false" customWidth="true" hidden="false" outlineLevel="0" max="9" min="9" style="0" width="15"/>
    <col collapsed="false" customWidth="true" hidden="false" outlineLevel="0" max="10" min="10" style="0" width="36"/>
  </cols>
  <sheetData>
    <row r="1" customFormat="false" ht="19.7" hidden="false" customHeight="false" outlineLevel="0" collapsed="false">
      <c r="A1" s="1" t="s">
        <v>80</v>
      </c>
    </row>
    <row r="2" customFormat="false" ht="15" hidden="false" customHeight="false" outlineLevel="0" collapsed="false">
      <c r="A2" s="2" t="s">
        <v>81</v>
      </c>
    </row>
    <row r="4" customFormat="false" ht="30" hidden="false" customHeight="true" outlineLevel="0" collapsed="false">
      <c r="A4" s="12" t="s">
        <v>82</v>
      </c>
      <c r="B4" s="12" t="s">
        <v>83</v>
      </c>
      <c r="C4" s="12" t="s">
        <v>38</v>
      </c>
      <c r="D4" s="12" t="s">
        <v>57</v>
      </c>
      <c r="E4" s="12" t="s">
        <v>84</v>
      </c>
      <c r="F4" s="12" t="s">
        <v>85</v>
      </c>
      <c r="G4" s="12" t="s">
        <v>86</v>
      </c>
      <c r="H4" s="12" t="s">
        <v>87</v>
      </c>
      <c r="I4" s="12" t="s">
        <v>88</v>
      </c>
      <c r="J4" s="12" t="s">
        <v>89</v>
      </c>
    </row>
    <row r="5" customFormat="false" ht="15" hidden="false" customHeight="false" outlineLevel="0" collapsed="false">
      <c r="A5" s="27" t="n">
        <v>46204</v>
      </c>
      <c r="B5" s="28" t="s">
        <v>90</v>
      </c>
      <c r="C5" s="29" t="str">
        <f aca="false">IF(B5="","",IFERROR(INDEX(Tenancies!$B$5:$B$50,MATCH(B5,Tenancies!$A$5:$A$50,0)),"Check ID"))</f>
        <v>P01</v>
      </c>
      <c r="D5" s="29" t="str">
        <f aca="false">IF(B5="","",IFERROR(INDEX(Tenancies!$D$5:$D$50,MATCH(B5,Tenancies!$A$5:$A$50,0)),"Check ID"))</f>
        <v>J. Carter</v>
      </c>
      <c r="E5" s="30" t="n">
        <v>46204</v>
      </c>
      <c r="F5" s="31" t="n">
        <v>950</v>
      </c>
      <c r="G5" s="31" t="n">
        <v>0</v>
      </c>
      <c r="H5" s="28" t="s">
        <v>91</v>
      </c>
      <c r="I5" s="32" t="str">
        <f aca="false">IF(OR(B5="",E5=""),"",IF(SUMIFS($F$5:$F$304,$B$5:$B$304,B5,$E$5:$E$304,E5)&gt;=IFERROR(INDEX(Tenancies!$G$5:$G$50,MATCH(B5,Tenancies!$A$5:$A$50,0)),0),"Rent complete","Partial"))</f>
        <v>Rent complete</v>
      </c>
      <c r="J5" s="28"/>
    </row>
    <row r="6" customFormat="false" ht="15" hidden="false" customHeight="false" outlineLevel="0" collapsed="false">
      <c r="A6" s="27" t="n">
        <v>46204</v>
      </c>
      <c r="B6" s="28" t="s">
        <v>92</v>
      </c>
      <c r="C6" s="29" t="str">
        <f aca="false">IF(B6="","",IFERROR(INDEX(Tenancies!$B$5:$B$50,MATCH(B6,Tenancies!$A$5:$A$50,0)),"Check ID"))</f>
        <v>P03</v>
      </c>
      <c r="D6" s="29" t="str">
        <f aca="false">IF(B6="","",IFERROR(INDEX(Tenancies!$D$5:$D$50,MATCH(B6,Tenancies!$A$5:$A$50,0)),"Check ID"))</f>
        <v>S. Nowak</v>
      </c>
      <c r="E6" s="30" t="n">
        <v>46204</v>
      </c>
      <c r="F6" s="31" t="n">
        <v>875</v>
      </c>
      <c r="G6" s="31" t="n">
        <v>0</v>
      </c>
      <c r="H6" s="28" t="s">
        <v>93</v>
      </c>
      <c r="I6" s="32" t="str">
        <f aca="false">IF(OR(B6="",E6=""),"",IF(SUMIFS($F$5:$F$304,$B$5:$B$304,B6,$E$5:$E$304,E6)&gt;=IFERROR(INDEX(Tenancies!$G$5:$G$50,MATCH(B6,Tenancies!$A$5:$A$50,0)),0),"Rent complete","Partial"))</f>
        <v>Rent complete</v>
      </c>
      <c r="J6" s="28"/>
    </row>
    <row r="7" customFormat="false" ht="15" hidden="false" customHeight="false" outlineLevel="0" collapsed="false">
      <c r="A7" s="27" t="n">
        <v>46207</v>
      </c>
      <c r="B7" s="28" t="s">
        <v>94</v>
      </c>
      <c r="C7" s="29" t="str">
        <f aca="false">IF(B7="","",IFERROR(INDEX(Tenancies!$B$5:$B$50,MATCH(B7,Tenancies!$A$5:$A$50,0)),"Check ID"))</f>
        <v>P02</v>
      </c>
      <c r="D7" s="29" t="str">
        <f aca="false">IF(B7="","",IFERROR(INDEX(Tenancies!$D$5:$D$50,MATCH(B7,Tenancies!$A$5:$A$50,0)),"Check ID"))</f>
        <v>M. Patel</v>
      </c>
      <c r="E7" s="30" t="n">
        <v>46204</v>
      </c>
      <c r="F7" s="31" t="n">
        <v>1350</v>
      </c>
      <c r="G7" s="31" t="n">
        <v>0</v>
      </c>
      <c r="H7" s="28" t="s">
        <v>93</v>
      </c>
      <c r="I7" s="32" t="str">
        <f aca="false">IF(OR(B7="",E7=""),"",IF(SUMIFS($F$5:$F$304,$B$5:$B$304,B7,$E$5:$E$304,E7)&gt;=IFERROR(INDEX(Tenancies!$G$5:$G$50,MATCH(B7,Tenancies!$A$5:$A$50,0)),0),"Rent complete","Partial"))</f>
        <v>Rent complete</v>
      </c>
      <c r="J7" s="28"/>
    </row>
    <row r="8" customFormat="false" ht="15" hidden="false" customHeight="false" outlineLevel="0" collapsed="false">
      <c r="A8" s="27" t="n">
        <v>46212</v>
      </c>
      <c r="B8" s="28" t="s">
        <v>95</v>
      </c>
      <c r="C8" s="29" t="str">
        <f aca="false">IF(B8="","",IFERROR(INDEX(Tenancies!$B$5:$B$50,MATCH(B8,Tenancies!$A$5:$A$50,0)),"Check ID"))</f>
        <v>P04</v>
      </c>
      <c r="D8" s="29" t="str">
        <f aca="false">IF(B8="","",IFERROR(INDEX(Tenancies!$D$5:$D$50,MATCH(B8,Tenancies!$A$5:$A$50,0)),"Check ID"))</f>
        <v>A. Okafor</v>
      </c>
      <c r="E8" s="30" t="n">
        <v>46204</v>
      </c>
      <c r="F8" s="31" t="n">
        <v>1600</v>
      </c>
      <c r="G8" s="31" t="n">
        <v>0</v>
      </c>
      <c r="H8" s="28" t="s">
        <v>91</v>
      </c>
      <c r="I8" s="32" t="str">
        <f aca="false">IF(OR(B8="",E8=""),"",IF(SUMIFS($F$5:$F$304,$B$5:$B$304,B8,$E$5:$E$304,E8)&gt;=IFERROR(INDEX(Tenancies!$G$5:$G$50,MATCH(B8,Tenancies!$A$5:$A$50,0)),0),"Rent complete","Partial"))</f>
        <v>Rent complete</v>
      </c>
      <c r="J8" s="28"/>
    </row>
    <row r="9" customFormat="false" ht="15" hidden="false" customHeight="false" outlineLevel="0" collapsed="false">
      <c r="A9" s="27" t="n">
        <v>46235</v>
      </c>
      <c r="B9" s="28" t="s">
        <v>90</v>
      </c>
      <c r="C9" s="29" t="str">
        <f aca="false">IF(B9="","",IFERROR(INDEX(Tenancies!$B$5:$B$50,MATCH(B9,Tenancies!$A$5:$A$50,0)),"Check ID"))</f>
        <v>P01</v>
      </c>
      <c r="D9" s="29" t="str">
        <f aca="false">IF(B9="","",IFERROR(INDEX(Tenancies!$D$5:$D$50,MATCH(B9,Tenancies!$A$5:$A$50,0)),"Check ID"))</f>
        <v>J. Carter</v>
      </c>
      <c r="E9" s="30" t="n">
        <v>46235</v>
      </c>
      <c r="F9" s="31" t="n">
        <v>500</v>
      </c>
      <c r="G9" s="31" t="n">
        <v>0</v>
      </c>
      <c r="H9" s="28" t="s">
        <v>91</v>
      </c>
      <c r="I9" s="32" t="str">
        <f aca="false">IF(OR(B9="",E9=""),"",IF(SUMIFS($F$5:$F$304,$B$5:$B$304,B9,$E$5:$E$304,E9)&gt;=IFERROR(INDEX(Tenancies!$G$5:$G$50,MATCH(B9,Tenancies!$A$5:$A$50,0)),0),"Rent complete","Partial"))</f>
        <v>Rent complete</v>
      </c>
      <c r="J9" s="28" t="s">
        <v>96</v>
      </c>
    </row>
    <row r="10" customFormat="false" ht="15" hidden="false" customHeight="false" outlineLevel="0" collapsed="false">
      <c r="A10" s="27" t="n">
        <v>46235</v>
      </c>
      <c r="B10" s="28" t="s">
        <v>92</v>
      </c>
      <c r="C10" s="29" t="str">
        <f aca="false">IF(B10="","",IFERROR(INDEX(Tenancies!$B$5:$B$50,MATCH(B10,Tenancies!$A$5:$A$50,0)),"Check ID"))</f>
        <v>P03</v>
      </c>
      <c r="D10" s="29" t="str">
        <f aca="false">IF(B10="","",IFERROR(INDEX(Tenancies!$D$5:$D$50,MATCH(B10,Tenancies!$A$5:$A$50,0)),"Check ID"))</f>
        <v>S. Nowak</v>
      </c>
      <c r="E10" s="30" t="n">
        <v>46235</v>
      </c>
      <c r="F10" s="31" t="n">
        <v>875</v>
      </c>
      <c r="G10" s="31" t="n">
        <v>0</v>
      </c>
      <c r="H10" s="28" t="s">
        <v>93</v>
      </c>
      <c r="I10" s="32" t="str">
        <f aca="false">IF(OR(B10="",E10=""),"",IF(SUMIFS($F$5:$F$304,$B$5:$B$304,B10,$E$5:$E$304,E10)&gt;=IFERROR(INDEX(Tenancies!$G$5:$G$50,MATCH(B10,Tenancies!$A$5:$A$50,0)),0),"Rent complete","Partial"))</f>
        <v>Rent complete</v>
      </c>
      <c r="J10" s="28"/>
    </row>
    <row r="11" customFormat="false" ht="15" hidden="false" customHeight="false" outlineLevel="0" collapsed="false">
      <c r="A11" s="27" t="n">
        <v>46238</v>
      </c>
      <c r="B11" s="28" t="s">
        <v>94</v>
      </c>
      <c r="C11" s="29" t="str">
        <f aca="false">IF(B11="","",IFERROR(INDEX(Tenancies!$B$5:$B$50,MATCH(B11,Tenancies!$A$5:$A$50,0)),"Check ID"))</f>
        <v>P02</v>
      </c>
      <c r="D11" s="29" t="str">
        <f aca="false">IF(B11="","",IFERROR(INDEX(Tenancies!$D$5:$D$50,MATCH(B11,Tenancies!$A$5:$A$50,0)),"Check ID"))</f>
        <v>M. Patel</v>
      </c>
      <c r="E11" s="30" t="n">
        <v>46235</v>
      </c>
      <c r="F11" s="31" t="n">
        <v>1350</v>
      </c>
      <c r="G11" s="31" t="n">
        <v>0</v>
      </c>
      <c r="H11" s="28" t="s">
        <v>93</v>
      </c>
      <c r="I11" s="32" t="str">
        <f aca="false">IF(OR(B11="",E11=""),"",IF(SUMIFS($F$5:$F$304,$B$5:$B$304,B11,$E$5:$E$304,E11)&gt;=IFERROR(INDEX(Tenancies!$G$5:$G$50,MATCH(B11,Tenancies!$A$5:$A$50,0)),0),"Rent complete","Partial"))</f>
        <v>Rent complete</v>
      </c>
      <c r="J11" s="28"/>
    </row>
    <row r="12" customFormat="false" ht="15" hidden="false" customHeight="false" outlineLevel="0" collapsed="false">
      <c r="A12" s="27" t="n">
        <v>46243</v>
      </c>
      <c r="B12" s="28" t="s">
        <v>95</v>
      </c>
      <c r="C12" s="29" t="str">
        <f aca="false">IF(B12="","",IFERROR(INDEX(Tenancies!$B$5:$B$50,MATCH(B12,Tenancies!$A$5:$A$50,0)),"Check ID"))</f>
        <v>P04</v>
      </c>
      <c r="D12" s="29" t="str">
        <f aca="false">IF(B12="","",IFERROR(INDEX(Tenancies!$D$5:$D$50,MATCH(B12,Tenancies!$A$5:$A$50,0)),"Check ID"))</f>
        <v>A. Okafor</v>
      </c>
      <c r="E12" s="30" t="n">
        <v>46235</v>
      </c>
      <c r="F12" s="31" t="n">
        <v>1600</v>
      </c>
      <c r="G12" s="31" t="n">
        <v>0</v>
      </c>
      <c r="H12" s="28" t="s">
        <v>91</v>
      </c>
      <c r="I12" s="32" t="str">
        <f aca="false">IF(OR(B12="",E12=""),"",IF(SUMIFS($F$5:$F$304,$B$5:$B$304,B12,$E$5:$E$304,E12)&gt;=IFERROR(INDEX(Tenancies!$G$5:$G$50,MATCH(B12,Tenancies!$A$5:$A$50,0)),0),"Rent complete","Partial"))</f>
        <v>Rent complete</v>
      </c>
      <c r="J12" s="28"/>
    </row>
    <row r="13" customFormat="false" ht="15" hidden="false" customHeight="false" outlineLevel="0" collapsed="false">
      <c r="A13" s="27" t="n">
        <v>46254</v>
      </c>
      <c r="B13" s="28" t="s">
        <v>90</v>
      </c>
      <c r="C13" s="29" t="str">
        <f aca="false">IF(B13="","",IFERROR(INDEX(Tenancies!$B$5:$B$50,MATCH(B13,Tenancies!$A$5:$A$50,0)),"Check ID"))</f>
        <v>P01</v>
      </c>
      <c r="D13" s="29" t="str">
        <f aca="false">IF(B13="","",IFERROR(INDEX(Tenancies!$D$5:$D$50,MATCH(B13,Tenancies!$A$5:$A$50,0)),"Check ID"))</f>
        <v>J. Carter</v>
      </c>
      <c r="E13" s="30" t="n">
        <v>46235</v>
      </c>
      <c r="F13" s="31" t="n">
        <v>450</v>
      </c>
      <c r="G13" s="31" t="n">
        <v>0</v>
      </c>
      <c r="H13" s="28" t="s">
        <v>93</v>
      </c>
      <c r="I13" s="32" t="str">
        <f aca="false">IF(OR(B13="",E13=""),"",IF(SUMIFS($F$5:$F$304,$B$5:$B$304,B13,$E$5:$E$304,E13)&gt;=IFERROR(INDEX(Tenancies!$G$5:$G$50,MATCH(B13,Tenancies!$A$5:$A$50,0)),0),"Rent complete","Partial"))</f>
        <v>Rent complete</v>
      </c>
      <c r="J13" s="28" t="s">
        <v>97</v>
      </c>
    </row>
    <row r="14" customFormat="false" ht="15" hidden="false" customHeight="false" outlineLevel="0" collapsed="false">
      <c r="A14" s="27" t="n">
        <v>46266</v>
      </c>
      <c r="B14" s="28" t="s">
        <v>90</v>
      </c>
      <c r="C14" s="29" t="str">
        <f aca="false">IF(B14="","",IFERROR(INDEX(Tenancies!$B$5:$B$50,MATCH(B14,Tenancies!$A$5:$A$50,0)),"Check ID"))</f>
        <v>P01</v>
      </c>
      <c r="D14" s="29" t="str">
        <f aca="false">IF(B14="","",IFERROR(INDEX(Tenancies!$D$5:$D$50,MATCH(B14,Tenancies!$A$5:$A$50,0)),"Check ID"))</f>
        <v>J. Carter</v>
      </c>
      <c r="E14" s="30" t="n">
        <v>46266</v>
      </c>
      <c r="F14" s="31" t="n">
        <v>950</v>
      </c>
      <c r="G14" s="31" t="n">
        <v>0</v>
      </c>
      <c r="H14" s="28" t="s">
        <v>91</v>
      </c>
      <c r="I14" s="32" t="str">
        <f aca="false">IF(OR(B14="",E14=""),"",IF(SUMIFS($F$5:$F$304,$B$5:$B$304,B14,$E$5:$E$304,E14)&gt;=IFERROR(INDEX(Tenancies!$G$5:$G$50,MATCH(B14,Tenancies!$A$5:$A$50,0)),0),"Rent complete","Partial"))</f>
        <v>Rent complete</v>
      </c>
      <c r="J14" s="28"/>
    </row>
    <row r="15" customFormat="false" ht="15" hidden="false" customHeight="false" outlineLevel="0" collapsed="false">
      <c r="A15" s="27" t="n">
        <v>46266</v>
      </c>
      <c r="B15" s="28" t="s">
        <v>92</v>
      </c>
      <c r="C15" s="29" t="str">
        <f aca="false">IF(B15="","",IFERROR(INDEX(Tenancies!$B$5:$B$50,MATCH(B15,Tenancies!$A$5:$A$50,0)),"Check ID"))</f>
        <v>P03</v>
      </c>
      <c r="D15" s="29" t="str">
        <f aca="false">IF(B15="","",IFERROR(INDEX(Tenancies!$D$5:$D$50,MATCH(B15,Tenancies!$A$5:$A$50,0)),"Check ID"))</f>
        <v>S. Nowak</v>
      </c>
      <c r="E15" s="30" t="n">
        <v>46266</v>
      </c>
      <c r="F15" s="31" t="n">
        <v>875</v>
      </c>
      <c r="G15" s="31" t="n">
        <v>0</v>
      </c>
      <c r="H15" s="28" t="s">
        <v>93</v>
      </c>
      <c r="I15" s="32" t="str">
        <f aca="false">IF(OR(B15="",E15=""),"",IF(SUMIFS($F$5:$F$304,$B$5:$B$304,B15,$E$5:$E$304,E15)&gt;=IFERROR(INDEX(Tenancies!$G$5:$G$50,MATCH(B15,Tenancies!$A$5:$A$50,0)),0),"Rent complete","Partial"))</f>
        <v>Rent complete</v>
      </c>
      <c r="J15" s="28"/>
    </row>
    <row r="16" customFormat="false" ht="15" hidden="false" customHeight="false" outlineLevel="0" collapsed="false">
      <c r="A16" s="27" t="n">
        <v>46274</v>
      </c>
      <c r="B16" s="28" t="s">
        <v>95</v>
      </c>
      <c r="C16" s="29" t="str">
        <f aca="false">IF(B16="","",IFERROR(INDEX(Tenancies!$B$5:$B$50,MATCH(B16,Tenancies!$A$5:$A$50,0)),"Check ID"))</f>
        <v>P04</v>
      </c>
      <c r="D16" s="29" t="str">
        <f aca="false">IF(B16="","",IFERROR(INDEX(Tenancies!$D$5:$D$50,MATCH(B16,Tenancies!$A$5:$A$50,0)),"Check ID"))</f>
        <v>A. Okafor</v>
      </c>
      <c r="E16" s="30" t="n">
        <v>46266</v>
      </c>
      <c r="F16" s="31" t="n">
        <v>1600</v>
      </c>
      <c r="G16" s="31" t="n">
        <v>0</v>
      </c>
      <c r="H16" s="28" t="s">
        <v>91</v>
      </c>
      <c r="I16" s="32" t="str">
        <f aca="false">IF(OR(B16="",E16=""),"",IF(SUMIFS($F$5:$F$304,$B$5:$B$304,B16,$E$5:$E$304,E16)&gt;=IFERROR(INDEX(Tenancies!$G$5:$G$50,MATCH(B16,Tenancies!$A$5:$A$50,0)),0),"Rent complete","Partial"))</f>
        <v>Rent complete</v>
      </c>
      <c r="J16" s="28"/>
    </row>
    <row r="17" customFormat="false" ht="15" hidden="false" customHeight="false" outlineLevel="0" collapsed="false">
      <c r="A17" s="27" t="n">
        <v>46280</v>
      </c>
      <c r="B17" s="28" t="s">
        <v>94</v>
      </c>
      <c r="C17" s="29" t="str">
        <f aca="false">IF(B17="","",IFERROR(INDEX(Tenancies!$B$5:$B$50,MATCH(B17,Tenancies!$A$5:$A$50,0)),"Check ID"))</f>
        <v>P02</v>
      </c>
      <c r="D17" s="29" t="str">
        <f aca="false">IF(B17="","",IFERROR(INDEX(Tenancies!$D$5:$D$50,MATCH(B17,Tenancies!$A$5:$A$50,0)),"Check ID"))</f>
        <v>M. Patel</v>
      </c>
      <c r="E17" s="30" t="n">
        <v>46266</v>
      </c>
      <c r="F17" s="31" t="n">
        <v>1350</v>
      </c>
      <c r="G17" s="31" t="n">
        <v>40</v>
      </c>
      <c r="H17" s="28" t="s">
        <v>93</v>
      </c>
      <c r="I17" s="32" t="str">
        <f aca="false">IF(OR(B17="",E17=""),"",IF(SUMIFS($F$5:$F$304,$B$5:$B$304,B17,$E$5:$E$304,E17)&gt;=IFERROR(INDEX(Tenancies!$G$5:$G$50,MATCH(B17,Tenancies!$A$5:$A$50,0)),0),"Rent complete","Partial"))</f>
        <v>Rent complete</v>
      </c>
      <c r="J17" s="28" t="s">
        <v>98</v>
      </c>
    </row>
    <row r="18" customFormat="false" ht="15" hidden="false" customHeight="false" outlineLevel="0" collapsed="false">
      <c r="A18" s="27" t="n">
        <v>46296</v>
      </c>
      <c r="B18" s="28" t="s">
        <v>90</v>
      </c>
      <c r="C18" s="29" t="str">
        <f aca="false">IF(B18="","",IFERROR(INDEX(Tenancies!$B$5:$B$50,MATCH(B18,Tenancies!$A$5:$A$50,0)),"Check ID"))</f>
        <v>P01</v>
      </c>
      <c r="D18" s="29" t="str">
        <f aca="false">IF(B18="","",IFERROR(INDEX(Tenancies!$D$5:$D$50,MATCH(B18,Tenancies!$A$5:$A$50,0)),"Check ID"))</f>
        <v>J. Carter</v>
      </c>
      <c r="E18" s="30" t="n">
        <v>46296</v>
      </c>
      <c r="F18" s="31" t="n">
        <v>950</v>
      </c>
      <c r="G18" s="31" t="n">
        <v>0</v>
      </c>
      <c r="H18" s="28" t="s">
        <v>91</v>
      </c>
      <c r="I18" s="32" t="str">
        <f aca="false">IF(OR(B18="",E18=""),"",IF(SUMIFS($F$5:$F$304,$B$5:$B$304,B18,$E$5:$E$304,E18)&gt;=IFERROR(INDEX(Tenancies!$G$5:$G$50,MATCH(B18,Tenancies!$A$5:$A$50,0)),0),"Rent complete","Partial"))</f>
        <v>Rent complete</v>
      </c>
      <c r="J18" s="28"/>
    </row>
    <row r="19" customFormat="false" ht="15" hidden="false" customHeight="false" outlineLevel="0" collapsed="false">
      <c r="A19" s="27" t="n">
        <v>46296</v>
      </c>
      <c r="B19" s="28" t="s">
        <v>92</v>
      </c>
      <c r="C19" s="29" t="str">
        <f aca="false">IF(B19="","",IFERROR(INDEX(Tenancies!$B$5:$B$50,MATCH(B19,Tenancies!$A$5:$A$50,0)),"Check ID"))</f>
        <v>P03</v>
      </c>
      <c r="D19" s="29" t="str">
        <f aca="false">IF(B19="","",IFERROR(INDEX(Tenancies!$D$5:$D$50,MATCH(B19,Tenancies!$A$5:$A$50,0)),"Check ID"))</f>
        <v>S. Nowak</v>
      </c>
      <c r="E19" s="30" t="n">
        <v>46296</v>
      </c>
      <c r="F19" s="31" t="n">
        <v>500</v>
      </c>
      <c r="G19" s="31" t="n">
        <v>0</v>
      </c>
      <c r="H19" s="28" t="s">
        <v>93</v>
      </c>
      <c r="I19" s="32" t="str">
        <f aca="false">IF(OR(B19="",E19=""),"",IF(SUMIFS($F$5:$F$304,$B$5:$B$304,B19,$E$5:$E$304,E19)&gt;=IFERROR(INDEX(Tenancies!$G$5:$G$50,MATCH(B19,Tenancies!$A$5:$A$50,0)),0),"Rent complete","Partial"))</f>
        <v>Partial</v>
      </c>
      <c r="J19" s="28" t="s">
        <v>99</v>
      </c>
    </row>
    <row r="20" customFormat="false" ht="15" hidden="false" customHeight="false" outlineLevel="0" collapsed="false">
      <c r="A20" s="27" t="n">
        <v>46299</v>
      </c>
      <c r="B20" s="28" t="s">
        <v>94</v>
      </c>
      <c r="C20" s="29" t="str">
        <f aca="false">IF(B20="","",IFERROR(INDEX(Tenancies!$B$5:$B$50,MATCH(B20,Tenancies!$A$5:$A$50,0)),"Check ID"))</f>
        <v>P02</v>
      </c>
      <c r="D20" s="29" t="str">
        <f aca="false">IF(B20="","",IFERROR(INDEX(Tenancies!$D$5:$D$50,MATCH(B20,Tenancies!$A$5:$A$50,0)),"Check ID"))</f>
        <v>M. Patel</v>
      </c>
      <c r="E20" s="30" t="n">
        <v>46296</v>
      </c>
      <c r="F20" s="31" t="n">
        <v>1350</v>
      </c>
      <c r="G20" s="31" t="n">
        <v>0</v>
      </c>
      <c r="H20" s="28" t="s">
        <v>93</v>
      </c>
      <c r="I20" s="32" t="str">
        <f aca="false">IF(OR(B20="",E20=""),"",IF(SUMIFS($F$5:$F$304,$B$5:$B$304,B20,$E$5:$E$304,E20)&gt;=IFERROR(INDEX(Tenancies!$G$5:$G$50,MATCH(B20,Tenancies!$A$5:$A$50,0)),0),"Rent complete","Partial"))</f>
        <v>Rent complete</v>
      </c>
      <c r="J20" s="28"/>
    </row>
    <row r="21" customFormat="false" ht="15" hidden="false" customHeight="false" outlineLevel="0" collapsed="false">
      <c r="A21" s="27"/>
      <c r="B21" s="28"/>
      <c r="C21" s="29" t="str">
        <f aca="false">IF(B21="","",IFERROR(INDEX(Tenancies!$B$5:$B$50,MATCH(B21,Tenancies!$A$5:$A$50,0)),"Check ID"))</f>
        <v/>
      </c>
      <c r="D21" s="29" t="str">
        <f aca="false">IF(B21="","",IFERROR(INDEX(Tenancies!$D$5:$D$50,MATCH(B21,Tenancies!$A$5:$A$50,0)),"Check ID"))</f>
        <v/>
      </c>
      <c r="E21" s="30"/>
      <c r="F21" s="31"/>
      <c r="G21" s="31"/>
      <c r="H21" s="28"/>
      <c r="I21" s="32" t="str">
        <f aca="false">IF(OR(B21="",E21=""),"",IF(SUMIFS($F$5:$F$304,$B$5:$B$304,B21,$E$5:$E$304,E21)&gt;=IFERROR(INDEX(Tenancies!$G$5:$G$50,MATCH(B21,Tenancies!$A$5:$A$50,0)),0),"Rent complete","Partial"))</f>
        <v/>
      </c>
      <c r="J21" s="28"/>
    </row>
    <row r="22" customFormat="false" ht="15" hidden="false" customHeight="false" outlineLevel="0" collapsed="false">
      <c r="A22" s="27"/>
      <c r="B22" s="28"/>
      <c r="C22" s="29" t="str">
        <f aca="false">IF(B22="","",IFERROR(INDEX(Tenancies!$B$5:$B$50,MATCH(B22,Tenancies!$A$5:$A$50,0)),"Check ID"))</f>
        <v/>
      </c>
      <c r="D22" s="29" t="str">
        <f aca="false">IF(B22="","",IFERROR(INDEX(Tenancies!$D$5:$D$50,MATCH(B22,Tenancies!$A$5:$A$50,0)),"Check ID"))</f>
        <v/>
      </c>
      <c r="E22" s="30"/>
      <c r="F22" s="31"/>
      <c r="G22" s="31"/>
      <c r="H22" s="28"/>
      <c r="I22" s="32" t="str">
        <f aca="false">IF(OR(B22="",E22=""),"",IF(SUMIFS($F$5:$F$304,$B$5:$B$304,B22,$E$5:$E$304,E22)&gt;=IFERROR(INDEX(Tenancies!$G$5:$G$50,MATCH(B22,Tenancies!$A$5:$A$50,0)),0),"Rent complete","Partial"))</f>
        <v/>
      </c>
      <c r="J22" s="28"/>
    </row>
    <row r="23" customFormat="false" ht="15" hidden="false" customHeight="false" outlineLevel="0" collapsed="false">
      <c r="A23" s="27"/>
      <c r="B23" s="28"/>
      <c r="C23" s="29" t="str">
        <f aca="false">IF(B23="","",IFERROR(INDEX(Tenancies!$B$5:$B$50,MATCH(B23,Tenancies!$A$5:$A$50,0)),"Check ID"))</f>
        <v/>
      </c>
      <c r="D23" s="29" t="str">
        <f aca="false">IF(B23="","",IFERROR(INDEX(Tenancies!$D$5:$D$50,MATCH(B23,Tenancies!$A$5:$A$50,0)),"Check ID"))</f>
        <v/>
      </c>
      <c r="E23" s="30"/>
      <c r="F23" s="31"/>
      <c r="G23" s="31"/>
      <c r="H23" s="28"/>
      <c r="I23" s="32" t="str">
        <f aca="false">IF(OR(B23="",E23=""),"",IF(SUMIFS($F$5:$F$304,$B$5:$B$304,B23,$E$5:$E$304,E23)&gt;=IFERROR(INDEX(Tenancies!$G$5:$G$50,MATCH(B23,Tenancies!$A$5:$A$50,0)),0),"Rent complete","Partial"))</f>
        <v/>
      </c>
      <c r="J23" s="28"/>
    </row>
    <row r="24" customFormat="false" ht="15" hidden="false" customHeight="false" outlineLevel="0" collapsed="false">
      <c r="A24" s="27"/>
      <c r="B24" s="28"/>
      <c r="C24" s="29" t="str">
        <f aca="false">IF(B24="","",IFERROR(INDEX(Tenancies!$B$5:$B$50,MATCH(B24,Tenancies!$A$5:$A$50,0)),"Check ID"))</f>
        <v/>
      </c>
      <c r="D24" s="29" t="str">
        <f aca="false">IF(B24="","",IFERROR(INDEX(Tenancies!$D$5:$D$50,MATCH(B24,Tenancies!$A$5:$A$50,0)),"Check ID"))</f>
        <v/>
      </c>
      <c r="E24" s="30"/>
      <c r="F24" s="31"/>
      <c r="G24" s="31"/>
      <c r="H24" s="28"/>
      <c r="I24" s="32" t="str">
        <f aca="false">IF(OR(B24="",E24=""),"",IF(SUMIFS($F$5:$F$304,$B$5:$B$304,B24,$E$5:$E$304,E24)&gt;=IFERROR(INDEX(Tenancies!$G$5:$G$50,MATCH(B24,Tenancies!$A$5:$A$50,0)),0),"Rent complete","Partial"))</f>
        <v/>
      </c>
      <c r="J24" s="28"/>
    </row>
    <row r="25" customFormat="false" ht="15" hidden="false" customHeight="false" outlineLevel="0" collapsed="false">
      <c r="A25" s="27"/>
      <c r="B25" s="28"/>
      <c r="C25" s="29" t="str">
        <f aca="false">IF(B25="","",IFERROR(INDEX(Tenancies!$B$5:$B$50,MATCH(B25,Tenancies!$A$5:$A$50,0)),"Check ID"))</f>
        <v/>
      </c>
      <c r="D25" s="29" t="str">
        <f aca="false">IF(B25="","",IFERROR(INDEX(Tenancies!$D$5:$D$50,MATCH(B25,Tenancies!$A$5:$A$50,0)),"Check ID"))</f>
        <v/>
      </c>
      <c r="E25" s="30"/>
      <c r="F25" s="31"/>
      <c r="G25" s="31"/>
      <c r="H25" s="28"/>
      <c r="I25" s="32" t="str">
        <f aca="false">IF(OR(B25="",E25=""),"",IF(SUMIFS($F$5:$F$304,$B$5:$B$304,B25,$E$5:$E$304,E25)&gt;=IFERROR(INDEX(Tenancies!$G$5:$G$50,MATCH(B25,Tenancies!$A$5:$A$50,0)),0),"Rent complete","Partial"))</f>
        <v/>
      </c>
      <c r="J25" s="28"/>
    </row>
    <row r="26" customFormat="false" ht="15" hidden="false" customHeight="false" outlineLevel="0" collapsed="false">
      <c r="A26" s="27"/>
      <c r="B26" s="28"/>
      <c r="C26" s="29" t="str">
        <f aca="false">IF(B26="","",IFERROR(INDEX(Tenancies!$B$5:$B$50,MATCH(B26,Tenancies!$A$5:$A$50,0)),"Check ID"))</f>
        <v/>
      </c>
      <c r="D26" s="29" t="str">
        <f aca="false">IF(B26="","",IFERROR(INDEX(Tenancies!$D$5:$D$50,MATCH(B26,Tenancies!$A$5:$A$50,0)),"Check ID"))</f>
        <v/>
      </c>
      <c r="E26" s="30"/>
      <c r="F26" s="31"/>
      <c r="G26" s="31"/>
      <c r="H26" s="28"/>
      <c r="I26" s="32" t="str">
        <f aca="false">IF(OR(B26="",E26=""),"",IF(SUMIFS($F$5:$F$304,$B$5:$B$304,B26,$E$5:$E$304,E26)&gt;=IFERROR(INDEX(Tenancies!$G$5:$G$50,MATCH(B26,Tenancies!$A$5:$A$50,0)),0),"Rent complete","Partial"))</f>
        <v/>
      </c>
      <c r="J26" s="28"/>
    </row>
    <row r="27" customFormat="false" ht="15" hidden="false" customHeight="false" outlineLevel="0" collapsed="false">
      <c r="A27" s="27"/>
      <c r="B27" s="28"/>
      <c r="C27" s="29" t="str">
        <f aca="false">IF(B27="","",IFERROR(INDEX(Tenancies!$B$5:$B$50,MATCH(B27,Tenancies!$A$5:$A$50,0)),"Check ID"))</f>
        <v/>
      </c>
      <c r="D27" s="29" t="str">
        <f aca="false">IF(B27="","",IFERROR(INDEX(Tenancies!$D$5:$D$50,MATCH(B27,Tenancies!$A$5:$A$50,0)),"Check ID"))</f>
        <v/>
      </c>
      <c r="E27" s="30"/>
      <c r="F27" s="31"/>
      <c r="G27" s="31"/>
      <c r="H27" s="28"/>
      <c r="I27" s="32" t="str">
        <f aca="false">IF(OR(B27="",E27=""),"",IF(SUMIFS($F$5:$F$304,$B$5:$B$304,B27,$E$5:$E$304,E27)&gt;=IFERROR(INDEX(Tenancies!$G$5:$G$50,MATCH(B27,Tenancies!$A$5:$A$50,0)),0),"Rent complete","Partial"))</f>
        <v/>
      </c>
      <c r="J27" s="28"/>
    </row>
    <row r="28" customFormat="false" ht="15" hidden="false" customHeight="false" outlineLevel="0" collapsed="false">
      <c r="A28" s="27"/>
      <c r="B28" s="28"/>
      <c r="C28" s="29" t="str">
        <f aca="false">IF(B28="","",IFERROR(INDEX(Tenancies!$B$5:$B$50,MATCH(B28,Tenancies!$A$5:$A$50,0)),"Check ID"))</f>
        <v/>
      </c>
      <c r="D28" s="29" t="str">
        <f aca="false">IF(B28="","",IFERROR(INDEX(Tenancies!$D$5:$D$50,MATCH(B28,Tenancies!$A$5:$A$50,0)),"Check ID"))</f>
        <v/>
      </c>
      <c r="E28" s="30"/>
      <c r="F28" s="31"/>
      <c r="G28" s="31"/>
      <c r="H28" s="28"/>
      <c r="I28" s="32" t="str">
        <f aca="false">IF(OR(B28="",E28=""),"",IF(SUMIFS($F$5:$F$304,$B$5:$B$304,B28,$E$5:$E$304,E28)&gt;=IFERROR(INDEX(Tenancies!$G$5:$G$50,MATCH(B28,Tenancies!$A$5:$A$50,0)),0),"Rent complete","Partial"))</f>
        <v/>
      </c>
      <c r="J28" s="28"/>
    </row>
    <row r="29" customFormat="false" ht="15" hidden="false" customHeight="false" outlineLevel="0" collapsed="false">
      <c r="A29" s="27"/>
      <c r="B29" s="28"/>
      <c r="C29" s="29" t="str">
        <f aca="false">IF(B29="","",IFERROR(INDEX(Tenancies!$B$5:$B$50,MATCH(B29,Tenancies!$A$5:$A$50,0)),"Check ID"))</f>
        <v/>
      </c>
      <c r="D29" s="29" t="str">
        <f aca="false">IF(B29="","",IFERROR(INDEX(Tenancies!$D$5:$D$50,MATCH(B29,Tenancies!$A$5:$A$50,0)),"Check ID"))</f>
        <v/>
      </c>
      <c r="E29" s="30"/>
      <c r="F29" s="31"/>
      <c r="G29" s="31"/>
      <c r="H29" s="28"/>
      <c r="I29" s="32" t="str">
        <f aca="false">IF(OR(B29="",E29=""),"",IF(SUMIFS($F$5:$F$304,$B$5:$B$304,B29,$E$5:$E$304,E29)&gt;=IFERROR(INDEX(Tenancies!$G$5:$G$50,MATCH(B29,Tenancies!$A$5:$A$50,0)),0),"Rent complete","Partial"))</f>
        <v/>
      </c>
      <c r="J29" s="28"/>
    </row>
    <row r="30" customFormat="false" ht="15" hidden="false" customHeight="false" outlineLevel="0" collapsed="false">
      <c r="A30" s="27"/>
      <c r="B30" s="28"/>
      <c r="C30" s="29" t="str">
        <f aca="false">IF(B30="","",IFERROR(INDEX(Tenancies!$B$5:$B$50,MATCH(B30,Tenancies!$A$5:$A$50,0)),"Check ID"))</f>
        <v/>
      </c>
      <c r="D30" s="29" t="str">
        <f aca="false">IF(B30="","",IFERROR(INDEX(Tenancies!$D$5:$D$50,MATCH(B30,Tenancies!$A$5:$A$50,0)),"Check ID"))</f>
        <v/>
      </c>
      <c r="E30" s="30"/>
      <c r="F30" s="31"/>
      <c r="G30" s="31"/>
      <c r="H30" s="28"/>
      <c r="I30" s="32" t="str">
        <f aca="false">IF(OR(B30="",E30=""),"",IF(SUMIFS($F$5:$F$304,$B$5:$B$304,B30,$E$5:$E$304,E30)&gt;=IFERROR(INDEX(Tenancies!$G$5:$G$50,MATCH(B30,Tenancies!$A$5:$A$50,0)),0),"Rent complete","Partial"))</f>
        <v/>
      </c>
      <c r="J30" s="28"/>
    </row>
    <row r="31" customFormat="false" ht="15" hidden="false" customHeight="false" outlineLevel="0" collapsed="false">
      <c r="A31" s="27"/>
      <c r="B31" s="28"/>
      <c r="C31" s="29" t="str">
        <f aca="false">IF(B31="","",IFERROR(INDEX(Tenancies!$B$5:$B$50,MATCH(B31,Tenancies!$A$5:$A$50,0)),"Check ID"))</f>
        <v/>
      </c>
      <c r="D31" s="29" t="str">
        <f aca="false">IF(B31="","",IFERROR(INDEX(Tenancies!$D$5:$D$50,MATCH(B31,Tenancies!$A$5:$A$50,0)),"Check ID"))</f>
        <v/>
      </c>
      <c r="E31" s="30"/>
      <c r="F31" s="31"/>
      <c r="G31" s="31"/>
      <c r="H31" s="28"/>
      <c r="I31" s="32" t="str">
        <f aca="false">IF(OR(B31="",E31=""),"",IF(SUMIFS($F$5:$F$304,$B$5:$B$304,B31,$E$5:$E$304,E31)&gt;=IFERROR(INDEX(Tenancies!$G$5:$G$50,MATCH(B31,Tenancies!$A$5:$A$50,0)),0),"Rent complete","Partial"))</f>
        <v/>
      </c>
      <c r="J31" s="28"/>
    </row>
    <row r="32" customFormat="false" ht="15" hidden="false" customHeight="false" outlineLevel="0" collapsed="false">
      <c r="A32" s="27"/>
      <c r="B32" s="28"/>
      <c r="C32" s="29" t="str">
        <f aca="false">IF(B32="","",IFERROR(INDEX(Tenancies!$B$5:$B$50,MATCH(B32,Tenancies!$A$5:$A$50,0)),"Check ID"))</f>
        <v/>
      </c>
      <c r="D32" s="29" t="str">
        <f aca="false">IF(B32="","",IFERROR(INDEX(Tenancies!$D$5:$D$50,MATCH(B32,Tenancies!$A$5:$A$50,0)),"Check ID"))</f>
        <v/>
      </c>
      <c r="E32" s="30"/>
      <c r="F32" s="31"/>
      <c r="G32" s="31"/>
      <c r="H32" s="28"/>
      <c r="I32" s="32" t="str">
        <f aca="false">IF(OR(B32="",E32=""),"",IF(SUMIFS($F$5:$F$304,$B$5:$B$304,B32,$E$5:$E$304,E32)&gt;=IFERROR(INDEX(Tenancies!$G$5:$G$50,MATCH(B32,Tenancies!$A$5:$A$50,0)),0),"Rent complete","Partial"))</f>
        <v/>
      </c>
      <c r="J32" s="28"/>
    </row>
    <row r="33" customFormat="false" ht="15" hidden="false" customHeight="false" outlineLevel="0" collapsed="false">
      <c r="A33" s="27"/>
      <c r="B33" s="28"/>
      <c r="C33" s="29" t="str">
        <f aca="false">IF(B33="","",IFERROR(INDEX(Tenancies!$B$5:$B$50,MATCH(B33,Tenancies!$A$5:$A$50,0)),"Check ID"))</f>
        <v/>
      </c>
      <c r="D33" s="29" t="str">
        <f aca="false">IF(B33="","",IFERROR(INDEX(Tenancies!$D$5:$D$50,MATCH(B33,Tenancies!$A$5:$A$50,0)),"Check ID"))</f>
        <v/>
      </c>
      <c r="E33" s="30"/>
      <c r="F33" s="31"/>
      <c r="G33" s="31"/>
      <c r="H33" s="28"/>
      <c r="I33" s="32" t="str">
        <f aca="false">IF(OR(B33="",E33=""),"",IF(SUMIFS($F$5:$F$304,$B$5:$B$304,B33,$E$5:$E$304,E33)&gt;=IFERROR(INDEX(Tenancies!$G$5:$G$50,MATCH(B33,Tenancies!$A$5:$A$50,0)),0),"Rent complete","Partial"))</f>
        <v/>
      </c>
      <c r="J33" s="28"/>
    </row>
    <row r="34" customFormat="false" ht="15" hidden="false" customHeight="false" outlineLevel="0" collapsed="false">
      <c r="A34" s="27"/>
      <c r="B34" s="28"/>
      <c r="C34" s="29" t="str">
        <f aca="false">IF(B34="","",IFERROR(INDEX(Tenancies!$B$5:$B$50,MATCH(B34,Tenancies!$A$5:$A$50,0)),"Check ID"))</f>
        <v/>
      </c>
      <c r="D34" s="29" t="str">
        <f aca="false">IF(B34="","",IFERROR(INDEX(Tenancies!$D$5:$D$50,MATCH(B34,Tenancies!$A$5:$A$50,0)),"Check ID"))</f>
        <v/>
      </c>
      <c r="E34" s="30"/>
      <c r="F34" s="31"/>
      <c r="G34" s="31"/>
      <c r="H34" s="28"/>
      <c r="I34" s="32" t="str">
        <f aca="false">IF(OR(B34="",E34=""),"",IF(SUMIFS($F$5:$F$304,$B$5:$B$304,B34,$E$5:$E$304,E34)&gt;=IFERROR(INDEX(Tenancies!$G$5:$G$50,MATCH(B34,Tenancies!$A$5:$A$50,0)),0),"Rent complete","Partial"))</f>
        <v/>
      </c>
      <c r="J34" s="28"/>
    </row>
    <row r="35" customFormat="false" ht="15" hidden="false" customHeight="false" outlineLevel="0" collapsed="false">
      <c r="A35" s="27"/>
      <c r="B35" s="28"/>
      <c r="C35" s="29" t="str">
        <f aca="false">IF(B35="","",IFERROR(INDEX(Tenancies!$B$5:$B$50,MATCH(B35,Tenancies!$A$5:$A$50,0)),"Check ID"))</f>
        <v/>
      </c>
      <c r="D35" s="29" t="str">
        <f aca="false">IF(B35="","",IFERROR(INDEX(Tenancies!$D$5:$D$50,MATCH(B35,Tenancies!$A$5:$A$50,0)),"Check ID"))</f>
        <v/>
      </c>
      <c r="E35" s="30"/>
      <c r="F35" s="31"/>
      <c r="G35" s="31"/>
      <c r="H35" s="28"/>
      <c r="I35" s="32" t="str">
        <f aca="false">IF(OR(B35="",E35=""),"",IF(SUMIFS($F$5:$F$304,$B$5:$B$304,B35,$E$5:$E$304,E35)&gt;=IFERROR(INDEX(Tenancies!$G$5:$G$50,MATCH(B35,Tenancies!$A$5:$A$50,0)),0),"Rent complete","Partial"))</f>
        <v/>
      </c>
      <c r="J35" s="28"/>
    </row>
    <row r="36" customFormat="false" ht="15" hidden="false" customHeight="false" outlineLevel="0" collapsed="false">
      <c r="A36" s="27"/>
      <c r="B36" s="28"/>
      <c r="C36" s="29" t="str">
        <f aca="false">IF(B36="","",IFERROR(INDEX(Tenancies!$B$5:$B$50,MATCH(B36,Tenancies!$A$5:$A$50,0)),"Check ID"))</f>
        <v/>
      </c>
      <c r="D36" s="29" t="str">
        <f aca="false">IF(B36="","",IFERROR(INDEX(Tenancies!$D$5:$D$50,MATCH(B36,Tenancies!$A$5:$A$50,0)),"Check ID"))</f>
        <v/>
      </c>
      <c r="E36" s="30"/>
      <c r="F36" s="31"/>
      <c r="G36" s="31"/>
      <c r="H36" s="28"/>
      <c r="I36" s="32" t="str">
        <f aca="false">IF(OR(B36="",E36=""),"",IF(SUMIFS($F$5:$F$304,$B$5:$B$304,B36,$E$5:$E$304,E36)&gt;=IFERROR(INDEX(Tenancies!$G$5:$G$50,MATCH(B36,Tenancies!$A$5:$A$50,0)),0),"Rent complete","Partial"))</f>
        <v/>
      </c>
      <c r="J36" s="28"/>
    </row>
    <row r="37" customFormat="false" ht="15" hidden="false" customHeight="false" outlineLevel="0" collapsed="false">
      <c r="A37" s="27"/>
      <c r="B37" s="28"/>
      <c r="C37" s="29" t="str">
        <f aca="false">IF(B37="","",IFERROR(INDEX(Tenancies!$B$5:$B$50,MATCH(B37,Tenancies!$A$5:$A$50,0)),"Check ID"))</f>
        <v/>
      </c>
      <c r="D37" s="29" t="str">
        <f aca="false">IF(B37="","",IFERROR(INDEX(Tenancies!$D$5:$D$50,MATCH(B37,Tenancies!$A$5:$A$50,0)),"Check ID"))</f>
        <v/>
      </c>
      <c r="E37" s="30"/>
      <c r="F37" s="31"/>
      <c r="G37" s="31"/>
      <c r="H37" s="28"/>
      <c r="I37" s="32" t="str">
        <f aca="false">IF(OR(B37="",E37=""),"",IF(SUMIFS($F$5:$F$304,$B$5:$B$304,B37,$E$5:$E$304,E37)&gt;=IFERROR(INDEX(Tenancies!$G$5:$G$50,MATCH(B37,Tenancies!$A$5:$A$50,0)),0),"Rent complete","Partial"))</f>
        <v/>
      </c>
      <c r="J37" s="28"/>
    </row>
    <row r="38" customFormat="false" ht="15" hidden="false" customHeight="false" outlineLevel="0" collapsed="false">
      <c r="A38" s="27"/>
      <c r="B38" s="28"/>
      <c r="C38" s="29" t="str">
        <f aca="false">IF(B38="","",IFERROR(INDEX(Tenancies!$B$5:$B$50,MATCH(B38,Tenancies!$A$5:$A$50,0)),"Check ID"))</f>
        <v/>
      </c>
      <c r="D38" s="29" t="str">
        <f aca="false">IF(B38="","",IFERROR(INDEX(Tenancies!$D$5:$D$50,MATCH(B38,Tenancies!$A$5:$A$50,0)),"Check ID"))</f>
        <v/>
      </c>
      <c r="E38" s="30"/>
      <c r="F38" s="31"/>
      <c r="G38" s="31"/>
      <c r="H38" s="28"/>
      <c r="I38" s="32" t="str">
        <f aca="false">IF(OR(B38="",E38=""),"",IF(SUMIFS($F$5:$F$304,$B$5:$B$304,B38,$E$5:$E$304,E38)&gt;=IFERROR(INDEX(Tenancies!$G$5:$G$50,MATCH(B38,Tenancies!$A$5:$A$50,0)),0),"Rent complete","Partial"))</f>
        <v/>
      </c>
      <c r="J38" s="28"/>
    </row>
    <row r="39" customFormat="false" ht="15" hidden="false" customHeight="false" outlineLevel="0" collapsed="false">
      <c r="A39" s="27"/>
      <c r="B39" s="28"/>
      <c r="C39" s="29" t="str">
        <f aca="false">IF(B39="","",IFERROR(INDEX(Tenancies!$B$5:$B$50,MATCH(B39,Tenancies!$A$5:$A$50,0)),"Check ID"))</f>
        <v/>
      </c>
      <c r="D39" s="29" t="str">
        <f aca="false">IF(B39="","",IFERROR(INDEX(Tenancies!$D$5:$D$50,MATCH(B39,Tenancies!$A$5:$A$50,0)),"Check ID"))</f>
        <v/>
      </c>
      <c r="E39" s="30"/>
      <c r="F39" s="31"/>
      <c r="G39" s="31"/>
      <c r="H39" s="28"/>
      <c r="I39" s="32" t="str">
        <f aca="false">IF(OR(B39="",E39=""),"",IF(SUMIFS($F$5:$F$304,$B$5:$B$304,B39,$E$5:$E$304,E39)&gt;=IFERROR(INDEX(Tenancies!$G$5:$G$50,MATCH(B39,Tenancies!$A$5:$A$50,0)),0),"Rent complete","Partial"))</f>
        <v/>
      </c>
      <c r="J39" s="28"/>
    </row>
    <row r="40" customFormat="false" ht="15" hidden="false" customHeight="false" outlineLevel="0" collapsed="false">
      <c r="A40" s="27"/>
      <c r="B40" s="28"/>
      <c r="C40" s="29" t="str">
        <f aca="false">IF(B40="","",IFERROR(INDEX(Tenancies!$B$5:$B$50,MATCH(B40,Tenancies!$A$5:$A$50,0)),"Check ID"))</f>
        <v/>
      </c>
      <c r="D40" s="29" t="str">
        <f aca="false">IF(B40="","",IFERROR(INDEX(Tenancies!$D$5:$D$50,MATCH(B40,Tenancies!$A$5:$A$50,0)),"Check ID"))</f>
        <v/>
      </c>
      <c r="E40" s="30"/>
      <c r="F40" s="31"/>
      <c r="G40" s="31"/>
      <c r="H40" s="28"/>
      <c r="I40" s="32" t="str">
        <f aca="false">IF(OR(B40="",E40=""),"",IF(SUMIFS($F$5:$F$304,$B$5:$B$304,B40,$E$5:$E$304,E40)&gt;=IFERROR(INDEX(Tenancies!$G$5:$G$50,MATCH(B40,Tenancies!$A$5:$A$50,0)),0),"Rent complete","Partial"))</f>
        <v/>
      </c>
      <c r="J40" s="28"/>
    </row>
    <row r="41" customFormat="false" ht="15" hidden="false" customHeight="false" outlineLevel="0" collapsed="false">
      <c r="A41" s="27"/>
      <c r="B41" s="28"/>
      <c r="C41" s="29" t="str">
        <f aca="false">IF(B41="","",IFERROR(INDEX(Tenancies!$B$5:$B$50,MATCH(B41,Tenancies!$A$5:$A$50,0)),"Check ID"))</f>
        <v/>
      </c>
      <c r="D41" s="29" t="str">
        <f aca="false">IF(B41="","",IFERROR(INDEX(Tenancies!$D$5:$D$50,MATCH(B41,Tenancies!$A$5:$A$50,0)),"Check ID"))</f>
        <v/>
      </c>
      <c r="E41" s="30"/>
      <c r="F41" s="31"/>
      <c r="G41" s="31"/>
      <c r="H41" s="28"/>
      <c r="I41" s="32" t="str">
        <f aca="false">IF(OR(B41="",E41=""),"",IF(SUMIFS($F$5:$F$304,$B$5:$B$304,B41,$E$5:$E$304,E41)&gt;=IFERROR(INDEX(Tenancies!$G$5:$G$50,MATCH(B41,Tenancies!$A$5:$A$50,0)),0),"Rent complete","Partial"))</f>
        <v/>
      </c>
      <c r="J41" s="28"/>
    </row>
    <row r="42" customFormat="false" ht="15" hidden="false" customHeight="false" outlineLevel="0" collapsed="false">
      <c r="A42" s="27"/>
      <c r="B42" s="28"/>
      <c r="C42" s="29" t="str">
        <f aca="false">IF(B42="","",IFERROR(INDEX(Tenancies!$B$5:$B$50,MATCH(B42,Tenancies!$A$5:$A$50,0)),"Check ID"))</f>
        <v/>
      </c>
      <c r="D42" s="29" t="str">
        <f aca="false">IF(B42="","",IFERROR(INDEX(Tenancies!$D$5:$D$50,MATCH(B42,Tenancies!$A$5:$A$50,0)),"Check ID"))</f>
        <v/>
      </c>
      <c r="E42" s="30"/>
      <c r="F42" s="31"/>
      <c r="G42" s="31"/>
      <c r="H42" s="28"/>
      <c r="I42" s="32" t="str">
        <f aca="false">IF(OR(B42="",E42=""),"",IF(SUMIFS($F$5:$F$304,$B$5:$B$304,B42,$E$5:$E$304,E42)&gt;=IFERROR(INDEX(Tenancies!$G$5:$G$50,MATCH(B42,Tenancies!$A$5:$A$50,0)),0),"Rent complete","Partial"))</f>
        <v/>
      </c>
      <c r="J42" s="28"/>
    </row>
    <row r="43" customFormat="false" ht="15" hidden="false" customHeight="false" outlineLevel="0" collapsed="false">
      <c r="A43" s="27"/>
      <c r="B43" s="28"/>
      <c r="C43" s="29" t="str">
        <f aca="false">IF(B43="","",IFERROR(INDEX(Tenancies!$B$5:$B$50,MATCH(B43,Tenancies!$A$5:$A$50,0)),"Check ID"))</f>
        <v/>
      </c>
      <c r="D43" s="29" t="str">
        <f aca="false">IF(B43="","",IFERROR(INDEX(Tenancies!$D$5:$D$50,MATCH(B43,Tenancies!$A$5:$A$50,0)),"Check ID"))</f>
        <v/>
      </c>
      <c r="E43" s="30"/>
      <c r="F43" s="31"/>
      <c r="G43" s="31"/>
      <c r="H43" s="28"/>
      <c r="I43" s="32" t="str">
        <f aca="false">IF(OR(B43="",E43=""),"",IF(SUMIFS($F$5:$F$304,$B$5:$B$304,B43,$E$5:$E$304,E43)&gt;=IFERROR(INDEX(Tenancies!$G$5:$G$50,MATCH(B43,Tenancies!$A$5:$A$50,0)),0),"Rent complete","Partial"))</f>
        <v/>
      </c>
      <c r="J43" s="28"/>
    </row>
    <row r="44" customFormat="false" ht="15" hidden="false" customHeight="false" outlineLevel="0" collapsed="false">
      <c r="A44" s="27"/>
      <c r="B44" s="28"/>
      <c r="C44" s="29" t="str">
        <f aca="false">IF(B44="","",IFERROR(INDEX(Tenancies!$B$5:$B$50,MATCH(B44,Tenancies!$A$5:$A$50,0)),"Check ID"))</f>
        <v/>
      </c>
      <c r="D44" s="29" t="str">
        <f aca="false">IF(B44="","",IFERROR(INDEX(Tenancies!$D$5:$D$50,MATCH(B44,Tenancies!$A$5:$A$50,0)),"Check ID"))</f>
        <v/>
      </c>
      <c r="E44" s="30"/>
      <c r="F44" s="31"/>
      <c r="G44" s="31"/>
      <c r="H44" s="28"/>
      <c r="I44" s="32" t="str">
        <f aca="false">IF(OR(B44="",E44=""),"",IF(SUMIFS($F$5:$F$304,$B$5:$B$304,B44,$E$5:$E$304,E44)&gt;=IFERROR(INDEX(Tenancies!$G$5:$G$50,MATCH(B44,Tenancies!$A$5:$A$50,0)),0),"Rent complete","Partial"))</f>
        <v/>
      </c>
      <c r="J44" s="28"/>
    </row>
    <row r="45" customFormat="false" ht="15" hidden="false" customHeight="false" outlineLevel="0" collapsed="false">
      <c r="A45" s="27"/>
      <c r="B45" s="28"/>
      <c r="C45" s="29" t="str">
        <f aca="false">IF(B45="","",IFERROR(INDEX(Tenancies!$B$5:$B$50,MATCH(B45,Tenancies!$A$5:$A$50,0)),"Check ID"))</f>
        <v/>
      </c>
      <c r="D45" s="29" t="str">
        <f aca="false">IF(B45="","",IFERROR(INDEX(Tenancies!$D$5:$D$50,MATCH(B45,Tenancies!$A$5:$A$50,0)),"Check ID"))</f>
        <v/>
      </c>
      <c r="E45" s="30"/>
      <c r="F45" s="31"/>
      <c r="G45" s="31"/>
      <c r="H45" s="28"/>
      <c r="I45" s="32" t="str">
        <f aca="false">IF(OR(B45="",E45=""),"",IF(SUMIFS($F$5:$F$304,$B$5:$B$304,B45,$E$5:$E$304,E45)&gt;=IFERROR(INDEX(Tenancies!$G$5:$G$50,MATCH(B45,Tenancies!$A$5:$A$50,0)),0),"Rent complete","Partial"))</f>
        <v/>
      </c>
      <c r="J45" s="28"/>
    </row>
    <row r="46" customFormat="false" ht="15" hidden="false" customHeight="false" outlineLevel="0" collapsed="false">
      <c r="A46" s="27"/>
      <c r="B46" s="28"/>
      <c r="C46" s="29" t="str">
        <f aca="false">IF(B46="","",IFERROR(INDEX(Tenancies!$B$5:$B$50,MATCH(B46,Tenancies!$A$5:$A$50,0)),"Check ID"))</f>
        <v/>
      </c>
      <c r="D46" s="29" t="str">
        <f aca="false">IF(B46="","",IFERROR(INDEX(Tenancies!$D$5:$D$50,MATCH(B46,Tenancies!$A$5:$A$50,0)),"Check ID"))</f>
        <v/>
      </c>
      <c r="E46" s="30"/>
      <c r="F46" s="31"/>
      <c r="G46" s="31"/>
      <c r="H46" s="28"/>
      <c r="I46" s="32" t="str">
        <f aca="false">IF(OR(B46="",E46=""),"",IF(SUMIFS($F$5:$F$304,$B$5:$B$304,B46,$E$5:$E$304,E46)&gt;=IFERROR(INDEX(Tenancies!$G$5:$G$50,MATCH(B46,Tenancies!$A$5:$A$50,0)),0),"Rent complete","Partial"))</f>
        <v/>
      </c>
      <c r="J46" s="28"/>
    </row>
    <row r="47" customFormat="false" ht="15" hidden="false" customHeight="false" outlineLevel="0" collapsed="false">
      <c r="A47" s="27"/>
      <c r="B47" s="28"/>
      <c r="C47" s="29" t="str">
        <f aca="false">IF(B47="","",IFERROR(INDEX(Tenancies!$B$5:$B$50,MATCH(B47,Tenancies!$A$5:$A$50,0)),"Check ID"))</f>
        <v/>
      </c>
      <c r="D47" s="29" t="str">
        <f aca="false">IF(B47="","",IFERROR(INDEX(Tenancies!$D$5:$D$50,MATCH(B47,Tenancies!$A$5:$A$50,0)),"Check ID"))</f>
        <v/>
      </c>
      <c r="E47" s="30"/>
      <c r="F47" s="31"/>
      <c r="G47" s="31"/>
      <c r="H47" s="28"/>
      <c r="I47" s="32" t="str">
        <f aca="false">IF(OR(B47="",E47=""),"",IF(SUMIFS($F$5:$F$304,$B$5:$B$304,B47,$E$5:$E$304,E47)&gt;=IFERROR(INDEX(Tenancies!$G$5:$G$50,MATCH(B47,Tenancies!$A$5:$A$50,0)),0),"Rent complete","Partial"))</f>
        <v/>
      </c>
      <c r="J47" s="28"/>
    </row>
    <row r="48" customFormat="false" ht="15" hidden="false" customHeight="false" outlineLevel="0" collapsed="false">
      <c r="A48" s="27"/>
      <c r="B48" s="28"/>
      <c r="C48" s="29" t="str">
        <f aca="false">IF(B48="","",IFERROR(INDEX(Tenancies!$B$5:$B$50,MATCH(B48,Tenancies!$A$5:$A$50,0)),"Check ID"))</f>
        <v/>
      </c>
      <c r="D48" s="29" t="str">
        <f aca="false">IF(B48="","",IFERROR(INDEX(Tenancies!$D$5:$D$50,MATCH(B48,Tenancies!$A$5:$A$50,0)),"Check ID"))</f>
        <v/>
      </c>
      <c r="E48" s="30"/>
      <c r="F48" s="31"/>
      <c r="G48" s="31"/>
      <c r="H48" s="28"/>
      <c r="I48" s="32" t="str">
        <f aca="false">IF(OR(B48="",E48=""),"",IF(SUMIFS($F$5:$F$304,$B$5:$B$304,B48,$E$5:$E$304,E48)&gt;=IFERROR(INDEX(Tenancies!$G$5:$G$50,MATCH(B48,Tenancies!$A$5:$A$50,0)),0),"Rent complete","Partial"))</f>
        <v/>
      </c>
      <c r="J48" s="28"/>
    </row>
    <row r="49" customFormat="false" ht="15" hidden="false" customHeight="false" outlineLevel="0" collapsed="false">
      <c r="A49" s="27"/>
      <c r="B49" s="28"/>
      <c r="C49" s="29" t="str">
        <f aca="false">IF(B49="","",IFERROR(INDEX(Tenancies!$B$5:$B$50,MATCH(B49,Tenancies!$A$5:$A$50,0)),"Check ID"))</f>
        <v/>
      </c>
      <c r="D49" s="29" t="str">
        <f aca="false">IF(B49="","",IFERROR(INDEX(Tenancies!$D$5:$D$50,MATCH(B49,Tenancies!$A$5:$A$50,0)),"Check ID"))</f>
        <v/>
      </c>
      <c r="E49" s="30"/>
      <c r="F49" s="31"/>
      <c r="G49" s="31"/>
      <c r="H49" s="28"/>
      <c r="I49" s="32" t="str">
        <f aca="false">IF(OR(B49="",E49=""),"",IF(SUMIFS($F$5:$F$304,$B$5:$B$304,B49,$E$5:$E$304,E49)&gt;=IFERROR(INDEX(Tenancies!$G$5:$G$50,MATCH(B49,Tenancies!$A$5:$A$50,0)),0),"Rent complete","Partial"))</f>
        <v/>
      </c>
      <c r="J49" s="28"/>
    </row>
    <row r="50" customFormat="false" ht="15" hidden="false" customHeight="false" outlineLevel="0" collapsed="false">
      <c r="A50" s="27"/>
      <c r="B50" s="28"/>
      <c r="C50" s="29" t="str">
        <f aca="false">IF(B50="","",IFERROR(INDEX(Tenancies!$B$5:$B$50,MATCH(B50,Tenancies!$A$5:$A$50,0)),"Check ID"))</f>
        <v/>
      </c>
      <c r="D50" s="29" t="str">
        <f aca="false">IF(B50="","",IFERROR(INDEX(Tenancies!$D$5:$D$50,MATCH(B50,Tenancies!$A$5:$A$50,0)),"Check ID"))</f>
        <v/>
      </c>
      <c r="E50" s="30"/>
      <c r="F50" s="31"/>
      <c r="G50" s="31"/>
      <c r="H50" s="28"/>
      <c r="I50" s="32" t="str">
        <f aca="false">IF(OR(B50="",E50=""),"",IF(SUMIFS($F$5:$F$304,$B$5:$B$304,B50,$E$5:$E$304,E50)&gt;=IFERROR(INDEX(Tenancies!$G$5:$G$50,MATCH(B50,Tenancies!$A$5:$A$50,0)),0),"Rent complete","Partial"))</f>
        <v/>
      </c>
      <c r="J50" s="28"/>
    </row>
    <row r="51" customFormat="false" ht="15" hidden="false" customHeight="false" outlineLevel="0" collapsed="false">
      <c r="A51" s="27"/>
      <c r="B51" s="28"/>
      <c r="C51" s="29" t="str">
        <f aca="false">IF(B51="","",IFERROR(INDEX(Tenancies!$B$5:$B$50,MATCH(B51,Tenancies!$A$5:$A$50,0)),"Check ID"))</f>
        <v/>
      </c>
      <c r="D51" s="29" t="str">
        <f aca="false">IF(B51="","",IFERROR(INDEX(Tenancies!$D$5:$D$50,MATCH(B51,Tenancies!$A$5:$A$50,0)),"Check ID"))</f>
        <v/>
      </c>
      <c r="E51" s="30"/>
      <c r="F51" s="31"/>
      <c r="G51" s="31"/>
      <c r="H51" s="28"/>
      <c r="I51" s="32" t="str">
        <f aca="false">IF(OR(B51="",E51=""),"",IF(SUMIFS($F$5:$F$304,$B$5:$B$304,B51,$E$5:$E$304,E51)&gt;=IFERROR(INDEX(Tenancies!$G$5:$G$50,MATCH(B51,Tenancies!$A$5:$A$50,0)),0),"Rent complete","Partial"))</f>
        <v/>
      </c>
      <c r="J51" s="28"/>
    </row>
    <row r="52" customFormat="false" ht="15" hidden="false" customHeight="false" outlineLevel="0" collapsed="false">
      <c r="A52" s="27"/>
      <c r="B52" s="28"/>
      <c r="C52" s="29" t="str">
        <f aca="false">IF(B52="","",IFERROR(INDEX(Tenancies!$B$5:$B$50,MATCH(B52,Tenancies!$A$5:$A$50,0)),"Check ID"))</f>
        <v/>
      </c>
      <c r="D52" s="29" t="str">
        <f aca="false">IF(B52="","",IFERROR(INDEX(Tenancies!$D$5:$D$50,MATCH(B52,Tenancies!$A$5:$A$50,0)),"Check ID"))</f>
        <v/>
      </c>
      <c r="E52" s="30"/>
      <c r="F52" s="31"/>
      <c r="G52" s="31"/>
      <c r="H52" s="28"/>
      <c r="I52" s="32" t="str">
        <f aca="false">IF(OR(B52="",E52=""),"",IF(SUMIFS($F$5:$F$304,$B$5:$B$304,B52,$E$5:$E$304,E52)&gt;=IFERROR(INDEX(Tenancies!$G$5:$G$50,MATCH(B52,Tenancies!$A$5:$A$50,0)),0),"Rent complete","Partial"))</f>
        <v/>
      </c>
      <c r="J52" s="28"/>
    </row>
    <row r="53" customFormat="false" ht="15" hidden="false" customHeight="false" outlineLevel="0" collapsed="false">
      <c r="A53" s="27"/>
      <c r="B53" s="28"/>
      <c r="C53" s="29" t="str">
        <f aca="false">IF(B53="","",IFERROR(INDEX(Tenancies!$B$5:$B$50,MATCH(B53,Tenancies!$A$5:$A$50,0)),"Check ID"))</f>
        <v/>
      </c>
      <c r="D53" s="29" t="str">
        <f aca="false">IF(B53="","",IFERROR(INDEX(Tenancies!$D$5:$D$50,MATCH(B53,Tenancies!$A$5:$A$50,0)),"Check ID"))</f>
        <v/>
      </c>
      <c r="E53" s="30"/>
      <c r="F53" s="31"/>
      <c r="G53" s="31"/>
      <c r="H53" s="28"/>
      <c r="I53" s="32" t="str">
        <f aca="false">IF(OR(B53="",E53=""),"",IF(SUMIFS($F$5:$F$304,$B$5:$B$304,B53,$E$5:$E$304,E53)&gt;=IFERROR(INDEX(Tenancies!$G$5:$G$50,MATCH(B53,Tenancies!$A$5:$A$50,0)),0),"Rent complete","Partial"))</f>
        <v/>
      </c>
      <c r="J53" s="28"/>
    </row>
    <row r="54" customFormat="false" ht="15" hidden="false" customHeight="false" outlineLevel="0" collapsed="false">
      <c r="A54" s="27"/>
      <c r="B54" s="28"/>
      <c r="C54" s="29" t="str">
        <f aca="false">IF(B54="","",IFERROR(INDEX(Tenancies!$B$5:$B$50,MATCH(B54,Tenancies!$A$5:$A$50,0)),"Check ID"))</f>
        <v/>
      </c>
      <c r="D54" s="29" t="str">
        <f aca="false">IF(B54="","",IFERROR(INDEX(Tenancies!$D$5:$D$50,MATCH(B54,Tenancies!$A$5:$A$50,0)),"Check ID"))</f>
        <v/>
      </c>
      <c r="E54" s="30"/>
      <c r="F54" s="31"/>
      <c r="G54" s="31"/>
      <c r="H54" s="28"/>
      <c r="I54" s="32" t="str">
        <f aca="false">IF(OR(B54="",E54=""),"",IF(SUMIFS($F$5:$F$304,$B$5:$B$304,B54,$E$5:$E$304,E54)&gt;=IFERROR(INDEX(Tenancies!$G$5:$G$50,MATCH(B54,Tenancies!$A$5:$A$50,0)),0),"Rent complete","Partial"))</f>
        <v/>
      </c>
      <c r="J54" s="28"/>
    </row>
    <row r="55" customFormat="false" ht="15" hidden="false" customHeight="false" outlineLevel="0" collapsed="false">
      <c r="A55" s="27"/>
      <c r="B55" s="28"/>
      <c r="C55" s="29" t="str">
        <f aca="false">IF(B55="","",IFERROR(INDEX(Tenancies!$B$5:$B$50,MATCH(B55,Tenancies!$A$5:$A$50,0)),"Check ID"))</f>
        <v/>
      </c>
      <c r="D55" s="29" t="str">
        <f aca="false">IF(B55="","",IFERROR(INDEX(Tenancies!$D$5:$D$50,MATCH(B55,Tenancies!$A$5:$A$50,0)),"Check ID"))</f>
        <v/>
      </c>
      <c r="E55" s="30"/>
      <c r="F55" s="31"/>
      <c r="G55" s="31"/>
      <c r="H55" s="28"/>
      <c r="I55" s="32" t="str">
        <f aca="false">IF(OR(B55="",E55=""),"",IF(SUMIFS($F$5:$F$304,$B$5:$B$304,B55,$E$5:$E$304,E55)&gt;=IFERROR(INDEX(Tenancies!$G$5:$G$50,MATCH(B55,Tenancies!$A$5:$A$50,0)),0),"Rent complete","Partial"))</f>
        <v/>
      </c>
      <c r="J55" s="28"/>
    </row>
    <row r="56" customFormat="false" ht="15" hidden="false" customHeight="false" outlineLevel="0" collapsed="false">
      <c r="A56" s="27"/>
      <c r="B56" s="28"/>
      <c r="C56" s="29" t="str">
        <f aca="false">IF(B56="","",IFERROR(INDEX(Tenancies!$B$5:$B$50,MATCH(B56,Tenancies!$A$5:$A$50,0)),"Check ID"))</f>
        <v/>
      </c>
      <c r="D56" s="29" t="str">
        <f aca="false">IF(B56="","",IFERROR(INDEX(Tenancies!$D$5:$D$50,MATCH(B56,Tenancies!$A$5:$A$50,0)),"Check ID"))</f>
        <v/>
      </c>
      <c r="E56" s="30"/>
      <c r="F56" s="31"/>
      <c r="G56" s="31"/>
      <c r="H56" s="28"/>
      <c r="I56" s="32" t="str">
        <f aca="false">IF(OR(B56="",E56=""),"",IF(SUMIFS($F$5:$F$304,$B$5:$B$304,B56,$E$5:$E$304,E56)&gt;=IFERROR(INDEX(Tenancies!$G$5:$G$50,MATCH(B56,Tenancies!$A$5:$A$50,0)),0),"Rent complete","Partial"))</f>
        <v/>
      </c>
      <c r="J56" s="28"/>
    </row>
    <row r="57" customFormat="false" ht="15" hidden="false" customHeight="false" outlineLevel="0" collapsed="false">
      <c r="A57" s="27"/>
      <c r="B57" s="28"/>
      <c r="C57" s="29" t="str">
        <f aca="false">IF(B57="","",IFERROR(INDEX(Tenancies!$B$5:$B$50,MATCH(B57,Tenancies!$A$5:$A$50,0)),"Check ID"))</f>
        <v/>
      </c>
      <c r="D57" s="29" t="str">
        <f aca="false">IF(B57="","",IFERROR(INDEX(Tenancies!$D$5:$D$50,MATCH(B57,Tenancies!$A$5:$A$50,0)),"Check ID"))</f>
        <v/>
      </c>
      <c r="E57" s="30"/>
      <c r="F57" s="31"/>
      <c r="G57" s="31"/>
      <c r="H57" s="28"/>
      <c r="I57" s="32" t="str">
        <f aca="false">IF(OR(B57="",E57=""),"",IF(SUMIFS($F$5:$F$304,$B$5:$B$304,B57,$E$5:$E$304,E57)&gt;=IFERROR(INDEX(Tenancies!$G$5:$G$50,MATCH(B57,Tenancies!$A$5:$A$50,0)),0),"Rent complete","Partial"))</f>
        <v/>
      </c>
      <c r="J57" s="28"/>
    </row>
    <row r="58" customFormat="false" ht="15" hidden="false" customHeight="false" outlineLevel="0" collapsed="false">
      <c r="A58" s="27"/>
      <c r="B58" s="28"/>
      <c r="C58" s="29" t="str">
        <f aca="false">IF(B58="","",IFERROR(INDEX(Tenancies!$B$5:$B$50,MATCH(B58,Tenancies!$A$5:$A$50,0)),"Check ID"))</f>
        <v/>
      </c>
      <c r="D58" s="29" t="str">
        <f aca="false">IF(B58="","",IFERROR(INDEX(Tenancies!$D$5:$D$50,MATCH(B58,Tenancies!$A$5:$A$50,0)),"Check ID"))</f>
        <v/>
      </c>
      <c r="E58" s="30"/>
      <c r="F58" s="31"/>
      <c r="G58" s="31"/>
      <c r="H58" s="28"/>
      <c r="I58" s="32" t="str">
        <f aca="false">IF(OR(B58="",E58=""),"",IF(SUMIFS($F$5:$F$304,$B$5:$B$304,B58,$E$5:$E$304,E58)&gt;=IFERROR(INDEX(Tenancies!$G$5:$G$50,MATCH(B58,Tenancies!$A$5:$A$50,0)),0),"Rent complete","Partial"))</f>
        <v/>
      </c>
      <c r="J58" s="28"/>
    </row>
    <row r="59" customFormat="false" ht="15" hidden="false" customHeight="false" outlineLevel="0" collapsed="false">
      <c r="A59" s="27"/>
      <c r="B59" s="28"/>
      <c r="C59" s="29" t="str">
        <f aca="false">IF(B59="","",IFERROR(INDEX(Tenancies!$B$5:$B$50,MATCH(B59,Tenancies!$A$5:$A$50,0)),"Check ID"))</f>
        <v/>
      </c>
      <c r="D59" s="29" t="str">
        <f aca="false">IF(B59="","",IFERROR(INDEX(Tenancies!$D$5:$D$50,MATCH(B59,Tenancies!$A$5:$A$50,0)),"Check ID"))</f>
        <v/>
      </c>
      <c r="E59" s="30"/>
      <c r="F59" s="31"/>
      <c r="G59" s="31"/>
      <c r="H59" s="28"/>
      <c r="I59" s="32" t="str">
        <f aca="false">IF(OR(B59="",E59=""),"",IF(SUMIFS($F$5:$F$304,$B$5:$B$304,B59,$E$5:$E$304,E59)&gt;=IFERROR(INDEX(Tenancies!$G$5:$G$50,MATCH(B59,Tenancies!$A$5:$A$50,0)),0),"Rent complete","Partial"))</f>
        <v/>
      </c>
      <c r="J59" s="28"/>
    </row>
    <row r="60" customFormat="false" ht="15" hidden="false" customHeight="false" outlineLevel="0" collapsed="false">
      <c r="A60" s="27"/>
      <c r="B60" s="28"/>
      <c r="C60" s="29" t="str">
        <f aca="false">IF(B60="","",IFERROR(INDEX(Tenancies!$B$5:$B$50,MATCH(B60,Tenancies!$A$5:$A$50,0)),"Check ID"))</f>
        <v/>
      </c>
      <c r="D60" s="29" t="str">
        <f aca="false">IF(B60="","",IFERROR(INDEX(Tenancies!$D$5:$D$50,MATCH(B60,Tenancies!$A$5:$A$50,0)),"Check ID"))</f>
        <v/>
      </c>
      <c r="E60" s="30"/>
      <c r="F60" s="31"/>
      <c r="G60" s="31"/>
      <c r="H60" s="28"/>
      <c r="I60" s="32" t="str">
        <f aca="false">IF(OR(B60="",E60=""),"",IF(SUMIFS($F$5:$F$304,$B$5:$B$304,B60,$E$5:$E$304,E60)&gt;=IFERROR(INDEX(Tenancies!$G$5:$G$50,MATCH(B60,Tenancies!$A$5:$A$50,0)),0),"Rent complete","Partial"))</f>
        <v/>
      </c>
      <c r="J60" s="28"/>
    </row>
    <row r="61" customFormat="false" ht="15" hidden="false" customHeight="false" outlineLevel="0" collapsed="false">
      <c r="A61" s="27"/>
      <c r="B61" s="28"/>
      <c r="C61" s="29" t="str">
        <f aca="false">IF(B61="","",IFERROR(INDEX(Tenancies!$B$5:$B$50,MATCH(B61,Tenancies!$A$5:$A$50,0)),"Check ID"))</f>
        <v/>
      </c>
      <c r="D61" s="29" t="str">
        <f aca="false">IF(B61="","",IFERROR(INDEX(Tenancies!$D$5:$D$50,MATCH(B61,Tenancies!$A$5:$A$50,0)),"Check ID"))</f>
        <v/>
      </c>
      <c r="E61" s="30"/>
      <c r="F61" s="31"/>
      <c r="G61" s="31"/>
      <c r="H61" s="28"/>
      <c r="I61" s="32" t="str">
        <f aca="false">IF(OR(B61="",E61=""),"",IF(SUMIFS($F$5:$F$304,$B$5:$B$304,B61,$E$5:$E$304,E61)&gt;=IFERROR(INDEX(Tenancies!$G$5:$G$50,MATCH(B61,Tenancies!$A$5:$A$50,0)),0),"Rent complete","Partial"))</f>
        <v/>
      </c>
      <c r="J61" s="28"/>
    </row>
    <row r="62" customFormat="false" ht="15" hidden="false" customHeight="false" outlineLevel="0" collapsed="false">
      <c r="A62" s="27"/>
      <c r="B62" s="28"/>
      <c r="C62" s="29" t="str">
        <f aca="false">IF(B62="","",IFERROR(INDEX(Tenancies!$B$5:$B$50,MATCH(B62,Tenancies!$A$5:$A$50,0)),"Check ID"))</f>
        <v/>
      </c>
      <c r="D62" s="29" t="str">
        <f aca="false">IF(B62="","",IFERROR(INDEX(Tenancies!$D$5:$D$50,MATCH(B62,Tenancies!$A$5:$A$50,0)),"Check ID"))</f>
        <v/>
      </c>
      <c r="E62" s="30"/>
      <c r="F62" s="31"/>
      <c r="G62" s="31"/>
      <c r="H62" s="28"/>
      <c r="I62" s="32" t="str">
        <f aca="false">IF(OR(B62="",E62=""),"",IF(SUMIFS($F$5:$F$304,$B$5:$B$304,B62,$E$5:$E$304,E62)&gt;=IFERROR(INDEX(Tenancies!$G$5:$G$50,MATCH(B62,Tenancies!$A$5:$A$50,0)),0),"Rent complete","Partial"))</f>
        <v/>
      </c>
      <c r="J62" s="28"/>
    </row>
    <row r="63" customFormat="false" ht="15" hidden="false" customHeight="false" outlineLevel="0" collapsed="false">
      <c r="A63" s="27"/>
      <c r="B63" s="28"/>
      <c r="C63" s="29" t="str">
        <f aca="false">IF(B63="","",IFERROR(INDEX(Tenancies!$B$5:$B$50,MATCH(B63,Tenancies!$A$5:$A$50,0)),"Check ID"))</f>
        <v/>
      </c>
      <c r="D63" s="29" t="str">
        <f aca="false">IF(B63="","",IFERROR(INDEX(Tenancies!$D$5:$D$50,MATCH(B63,Tenancies!$A$5:$A$50,0)),"Check ID"))</f>
        <v/>
      </c>
      <c r="E63" s="30"/>
      <c r="F63" s="31"/>
      <c r="G63" s="31"/>
      <c r="H63" s="28"/>
      <c r="I63" s="32" t="str">
        <f aca="false">IF(OR(B63="",E63=""),"",IF(SUMIFS($F$5:$F$304,$B$5:$B$304,B63,$E$5:$E$304,E63)&gt;=IFERROR(INDEX(Tenancies!$G$5:$G$50,MATCH(B63,Tenancies!$A$5:$A$50,0)),0),"Rent complete","Partial"))</f>
        <v/>
      </c>
      <c r="J63" s="28"/>
    </row>
    <row r="64" customFormat="false" ht="15" hidden="false" customHeight="false" outlineLevel="0" collapsed="false">
      <c r="A64" s="27"/>
      <c r="B64" s="28"/>
      <c r="C64" s="29" t="str">
        <f aca="false">IF(B64="","",IFERROR(INDEX(Tenancies!$B$5:$B$50,MATCH(B64,Tenancies!$A$5:$A$50,0)),"Check ID"))</f>
        <v/>
      </c>
      <c r="D64" s="29" t="str">
        <f aca="false">IF(B64="","",IFERROR(INDEX(Tenancies!$D$5:$D$50,MATCH(B64,Tenancies!$A$5:$A$50,0)),"Check ID"))</f>
        <v/>
      </c>
      <c r="E64" s="30"/>
      <c r="F64" s="31"/>
      <c r="G64" s="31"/>
      <c r="H64" s="28"/>
      <c r="I64" s="32" t="str">
        <f aca="false">IF(OR(B64="",E64=""),"",IF(SUMIFS($F$5:$F$304,$B$5:$B$304,B64,$E$5:$E$304,E64)&gt;=IFERROR(INDEX(Tenancies!$G$5:$G$50,MATCH(B64,Tenancies!$A$5:$A$50,0)),0),"Rent complete","Partial"))</f>
        <v/>
      </c>
      <c r="J64" s="28"/>
    </row>
    <row r="65" customFormat="false" ht="15" hidden="false" customHeight="false" outlineLevel="0" collapsed="false">
      <c r="A65" s="27"/>
      <c r="B65" s="28"/>
      <c r="C65" s="29" t="str">
        <f aca="false">IF(B65="","",IFERROR(INDEX(Tenancies!$B$5:$B$50,MATCH(B65,Tenancies!$A$5:$A$50,0)),"Check ID"))</f>
        <v/>
      </c>
      <c r="D65" s="29" t="str">
        <f aca="false">IF(B65="","",IFERROR(INDEX(Tenancies!$D$5:$D$50,MATCH(B65,Tenancies!$A$5:$A$50,0)),"Check ID"))</f>
        <v/>
      </c>
      <c r="E65" s="30"/>
      <c r="F65" s="31"/>
      <c r="G65" s="31"/>
      <c r="H65" s="28"/>
      <c r="I65" s="32" t="str">
        <f aca="false">IF(OR(B65="",E65=""),"",IF(SUMIFS($F$5:$F$304,$B$5:$B$304,B65,$E$5:$E$304,E65)&gt;=IFERROR(INDEX(Tenancies!$G$5:$G$50,MATCH(B65,Tenancies!$A$5:$A$50,0)),0),"Rent complete","Partial"))</f>
        <v/>
      </c>
      <c r="J65" s="28"/>
    </row>
    <row r="66" customFormat="false" ht="15" hidden="false" customHeight="false" outlineLevel="0" collapsed="false">
      <c r="A66" s="27"/>
      <c r="B66" s="28"/>
      <c r="C66" s="29" t="str">
        <f aca="false">IF(B66="","",IFERROR(INDEX(Tenancies!$B$5:$B$50,MATCH(B66,Tenancies!$A$5:$A$50,0)),"Check ID"))</f>
        <v/>
      </c>
      <c r="D66" s="29" t="str">
        <f aca="false">IF(B66="","",IFERROR(INDEX(Tenancies!$D$5:$D$50,MATCH(B66,Tenancies!$A$5:$A$50,0)),"Check ID"))</f>
        <v/>
      </c>
      <c r="E66" s="30"/>
      <c r="F66" s="31"/>
      <c r="G66" s="31"/>
      <c r="H66" s="28"/>
      <c r="I66" s="32" t="str">
        <f aca="false">IF(OR(B66="",E66=""),"",IF(SUMIFS($F$5:$F$304,$B$5:$B$304,B66,$E$5:$E$304,E66)&gt;=IFERROR(INDEX(Tenancies!$G$5:$G$50,MATCH(B66,Tenancies!$A$5:$A$50,0)),0),"Rent complete","Partial"))</f>
        <v/>
      </c>
      <c r="J66" s="28"/>
    </row>
    <row r="67" customFormat="false" ht="15" hidden="false" customHeight="false" outlineLevel="0" collapsed="false">
      <c r="A67" s="27"/>
      <c r="B67" s="28"/>
      <c r="C67" s="29" t="str">
        <f aca="false">IF(B67="","",IFERROR(INDEX(Tenancies!$B$5:$B$50,MATCH(B67,Tenancies!$A$5:$A$50,0)),"Check ID"))</f>
        <v/>
      </c>
      <c r="D67" s="29" t="str">
        <f aca="false">IF(B67="","",IFERROR(INDEX(Tenancies!$D$5:$D$50,MATCH(B67,Tenancies!$A$5:$A$50,0)),"Check ID"))</f>
        <v/>
      </c>
      <c r="E67" s="30"/>
      <c r="F67" s="31"/>
      <c r="G67" s="31"/>
      <c r="H67" s="28"/>
      <c r="I67" s="32" t="str">
        <f aca="false">IF(OR(B67="",E67=""),"",IF(SUMIFS($F$5:$F$304,$B$5:$B$304,B67,$E$5:$E$304,E67)&gt;=IFERROR(INDEX(Tenancies!$G$5:$G$50,MATCH(B67,Tenancies!$A$5:$A$50,0)),0),"Rent complete","Partial"))</f>
        <v/>
      </c>
      <c r="J67" s="28"/>
    </row>
    <row r="68" customFormat="false" ht="15" hidden="false" customHeight="false" outlineLevel="0" collapsed="false">
      <c r="A68" s="27"/>
      <c r="B68" s="28"/>
      <c r="C68" s="29" t="str">
        <f aca="false">IF(B68="","",IFERROR(INDEX(Tenancies!$B$5:$B$50,MATCH(B68,Tenancies!$A$5:$A$50,0)),"Check ID"))</f>
        <v/>
      </c>
      <c r="D68" s="29" t="str">
        <f aca="false">IF(B68="","",IFERROR(INDEX(Tenancies!$D$5:$D$50,MATCH(B68,Tenancies!$A$5:$A$50,0)),"Check ID"))</f>
        <v/>
      </c>
      <c r="E68" s="30"/>
      <c r="F68" s="31"/>
      <c r="G68" s="31"/>
      <c r="H68" s="28"/>
      <c r="I68" s="32" t="str">
        <f aca="false">IF(OR(B68="",E68=""),"",IF(SUMIFS($F$5:$F$304,$B$5:$B$304,B68,$E$5:$E$304,E68)&gt;=IFERROR(INDEX(Tenancies!$G$5:$G$50,MATCH(B68,Tenancies!$A$5:$A$50,0)),0),"Rent complete","Partial"))</f>
        <v/>
      </c>
      <c r="J68" s="28"/>
    </row>
    <row r="69" customFormat="false" ht="15" hidden="false" customHeight="false" outlineLevel="0" collapsed="false">
      <c r="A69" s="27"/>
      <c r="B69" s="28"/>
      <c r="C69" s="29" t="str">
        <f aca="false">IF(B69="","",IFERROR(INDEX(Tenancies!$B$5:$B$50,MATCH(B69,Tenancies!$A$5:$A$50,0)),"Check ID"))</f>
        <v/>
      </c>
      <c r="D69" s="29" t="str">
        <f aca="false">IF(B69="","",IFERROR(INDEX(Tenancies!$D$5:$D$50,MATCH(B69,Tenancies!$A$5:$A$50,0)),"Check ID"))</f>
        <v/>
      </c>
      <c r="E69" s="30"/>
      <c r="F69" s="31"/>
      <c r="G69" s="31"/>
      <c r="H69" s="28"/>
      <c r="I69" s="32" t="str">
        <f aca="false">IF(OR(B69="",E69=""),"",IF(SUMIFS($F$5:$F$304,$B$5:$B$304,B69,$E$5:$E$304,E69)&gt;=IFERROR(INDEX(Tenancies!$G$5:$G$50,MATCH(B69,Tenancies!$A$5:$A$50,0)),0),"Rent complete","Partial"))</f>
        <v/>
      </c>
      <c r="J69" s="28"/>
    </row>
    <row r="70" customFormat="false" ht="15" hidden="false" customHeight="false" outlineLevel="0" collapsed="false">
      <c r="A70" s="27"/>
      <c r="B70" s="28"/>
      <c r="C70" s="29" t="str">
        <f aca="false">IF(B70="","",IFERROR(INDEX(Tenancies!$B$5:$B$50,MATCH(B70,Tenancies!$A$5:$A$50,0)),"Check ID"))</f>
        <v/>
      </c>
      <c r="D70" s="29" t="str">
        <f aca="false">IF(B70="","",IFERROR(INDEX(Tenancies!$D$5:$D$50,MATCH(B70,Tenancies!$A$5:$A$50,0)),"Check ID"))</f>
        <v/>
      </c>
      <c r="E70" s="30"/>
      <c r="F70" s="31"/>
      <c r="G70" s="31"/>
      <c r="H70" s="28"/>
      <c r="I70" s="32" t="str">
        <f aca="false">IF(OR(B70="",E70=""),"",IF(SUMIFS($F$5:$F$304,$B$5:$B$304,B70,$E$5:$E$304,E70)&gt;=IFERROR(INDEX(Tenancies!$G$5:$G$50,MATCH(B70,Tenancies!$A$5:$A$50,0)),0),"Rent complete","Partial"))</f>
        <v/>
      </c>
      <c r="J70" s="28"/>
    </row>
    <row r="71" customFormat="false" ht="15" hidden="false" customHeight="false" outlineLevel="0" collapsed="false">
      <c r="A71" s="27"/>
      <c r="B71" s="28"/>
      <c r="C71" s="29" t="str">
        <f aca="false">IF(B71="","",IFERROR(INDEX(Tenancies!$B$5:$B$50,MATCH(B71,Tenancies!$A$5:$A$50,0)),"Check ID"))</f>
        <v/>
      </c>
      <c r="D71" s="29" t="str">
        <f aca="false">IF(B71="","",IFERROR(INDEX(Tenancies!$D$5:$D$50,MATCH(B71,Tenancies!$A$5:$A$50,0)),"Check ID"))</f>
        <v/>
      </c>
      <c r="E71" s="30"/>
      <c r="F71" s="31"/>
      <c r="G71" s="31"/>
      <c r="H71" s="28"/>
      <c r="I71" s="32" t="str">
        <f aca="false">IF(OR(B71="",E71=""),"",IF(SUMIFS($F$5:$F$304,$B$5:$B$304,B71,$E$5:$E$304,E71)&gt;=IFERROR(INDEX(Tenancies!$G$5:$G$50,MATCH(B71,Tenancies!$A$5:$A$50,0)),0),"Rent complete","Partial"))</f>
        <v/>
      </c>
      <c r="J71" s="28"/>
    </row>
    <row r="72" customFormat="false" ht="15" hidden="false" customHeight="false" outlineLevel="0" collapsed="false">
      <c r="A72" s="27"/>
      <c r="B72" s="28"/>
      <c r="C72" s="29" t="str">
        <f aca="false">IF(B72="","",IFERROR(INDEX(Tenancies!$B$5:$B$50,MATCH(B72,Tenancies!$A$5:$A$50,0)),"Check ID"))</f>
        <v/>
      </c>
      <c r="D72" s="29" t="str">
        <f aca="false">IF(B72="","",IFERROR(INDEX(Tenancies!$D$5:$D$50,MATCH(B72,Tenancies!$A$5:$A$50,0)),"Check ID"))</f>
        <v/>
      </c>
      <c r="E72" s="30"/>
      <c r="F72" s="31"/>
      <c r="G72" s="31"/>
      <c r="H72" s="28"/>
      <c r="I72" s="32" t="str">
        <f aca="false">IF(OR(B72="",E72=""),"",IF(SUMIFS($F$5:$F$304,$B$5:$B$304,B72,$E$5:$E$304,E72)&gt;=IFERROR(INDEX(Tenancies!$G$5:$G$50,MATCH(B72,Tenancies!$A$5:$A$50,0)),0),"Rent complete","Partial"))</f>
        <v/>
      </c>
      <c r="J72" s="28"/>
    </row>
    <row r="73" customFormat="false" ht="15" hidden="false" customHeight="false" outlineLevel="0" collapsed="false">
      <c r="A73" s="27"/>
      <c r="B73" s="28"/>
      <c r="C73" s="29" t="str">
        <f aca="false">IF(B73="","",IFERROR(INDEX(Tenancies!$B$5:$B$50,MATCH(B73,Tenancies!$A$5:$A$50,0)),"Check ID"))</f>
        <v/>
      </c>
      <c r="D73" s="29" t="str">
        <f aca="false">IF(B73="","",IFERROR(INDEX(Tenancies!$D$5:$D$50,MATCH(B73,Tenancies!$A$5:$A$50,0)),"Check ID"))</f>
        <v/>
      </c>
      <c r="E73" s="30"/>
      <c r="F73" s="31"/>
      <c r="G73" s="31"/>
      <c r="H73" s="28"/>
      <c r="I73" s="32" t="str">
        <f aca="false">IF(OR(B73="",E73=""),"",IF(SUMIFS($F$5:$F$304,$B$5:$B$304,B73,$E$5:$E$304,E73)&gt;=IFERROR(INDEX(Tenancies!$G$5:$G$50,MATCH(B73,Tenancies!$A$5:$A$50,0)),0),"Rent complete","Partial"))</f>
        <v/>
      </c>
      <c r="J73" s="28"/>
    </row>
    <row r="74" customFormat="false" ht="15" hidden="false" customHeight="false" outlineLevel="0" collapsed="false">
      <c r="A74" s="27"/>
      <c r="B74" s="28"/>
      <c r="C74" s="29" t="str">
        <f aca="false">IF(B74="","",IFERROR(INDEX(Tenancies!$B$5:$B$50,MATCH(B74,Tenancies!$A$5:$A$50,0)),"Check ID"))</f>
        <v/>
      </c>
      <c r="D74" s="29" t="str">
        <f aca="false">IF(B74="","",IFERROR(INDEX(Tenancies!$D$5:$D$50,MATCH(B74,Tenancies!$A$5:$A$50,0)),"Check ID"))</f>
        <v/>
      </c>
      <c r="E74" s="30"/>
      <c r="F74" s="31"/>
      <c r="G74" s="31"/>
      <c r="H74" s="28"/>
      <c r="I74" s="32" t="str">
        <f aca="false">IF(OR(B74="",E74=""),"",IF(SUMIFS($F$5:$F$304,$B$5:$B$304,B74,$E$5:$E$304,E74)&gt;=IFERROR(INDEX(Tenancies!$G$5:$G$50,MATCH(B74,Tenancies!$A$5:$A$50,0)),0),"Rent complete","Partial"))</f>
        <v/>
      </c>
      <c r="J74" s="28"/>
    </row>
    <row r="75" customFormat="false" ht="15" hidden="false" customHeight="false" outlineLevel="0" collapsed="false">
      <c r="A75" s="27"/>
      <c r="B75" s="28"/>
      <c r="C75" s="29" t="str">
        <f aca="false">IF(B75="","",IFERROR(INDEX(Tenancies!$B$5:$B$50,MATCH(B75,Tenancies!$A$5:$A$50,0)),"Check ID"))</f>
        <v/>
      </c>
      <c r="D75" s="29" t="str">
        <f aca="false">IF(B75="","",IFERROR(INDEX(Tenancies!$D$5:$D$50,MATCH(B75,Tenancies!$A$5:$A$50,0)),"Check ID"))</f>
        <v/>
      </c>
      <c r="E75" s="30"/>
      <c r="F75" s="31"/>
      <c r="G75" s="31"/>
      <c r="H75" s="28"/>
      <c r="I75" s="32" t="str">
        <f aca="false">IF(OR(B75="",E75=""),"",IF(SUMIFS($F$5:$F$304,$B$5:$B$304,B75,$E$5:$E$304,E75)&gt;=IFERROR(INDEX(Tenancies!$G$5:$G$50,MATCH(B75,Tenancies!$A$5:$A$50,0)),0),"Rent complete","Partial"))</f>
        <v/>
      </c>
      <c r="J75" s="28"/>
    </row>
    <row r="76" customFormat="false" ht="15" hidden="false" customHeight="false" outlineLevel="0" collapsed="false">
      <c r="A76" s="27"/>
      <c r="B76" s="28"/>
      <c r="C76" s="29" t="str">
        <f aca="false">IF(B76="","",IFERROR(INDEX(Tenancies!$B$5:$B$50,MATCH(B76,Tenancies!$A$5:$A$50,0)),"Check ID"))</f>
        <v/>
      </c>
      <c r="D76" s="29" t="str">
        <f aca="false">IF(B76="","",IFERROR(INDEX(Tenancies!$D$5:$D$50,MATCH(B76,Tenancies!$A$5:$A$50,0)),"Check ID"))</f>
        <v/>
      </c>
      <c r="E76" s="30"/>
      <c r="F76" s="31"/>
      <c r="G76" s="31"/>
      <c r="H76" s="28"/>
      <c r="I76" s="32" t="str">
        <f aca="false">IF(OR(B76="",E76=""),"",IF(SUMIFS($F$5:$F$304,$B$5:$B$304,B76,$E$5:$E$304,E76)&gt;=IFERROR(INDEX(Tenancies!$G$5:$G$50,MATCH(B76,Tenancies!$A$5:$A$50,0)),0),"Rent complete","Partial"))</f>
        <v/>
      </c>
      <c r="J76" s="28"/>
    </row>
    <row r="77" customFormat="false" ht="15" hidden="false" customHeight="false" outlineLevel="0" collapsed="false">
      <c r="A77" s="27"/>
      <c r="B77" s="28"/>
      <c r="C77" s="29" t="str">
        <f aca="false">IF(B77="","",IFERROR(INDEX(Tenancies!$B$5:$B$50,MATCH(B77,Tenancies!$A$5:$A$50,0)),"Check ID"))</f>
        <v/>
      </c>
      <c r="D77" s="29" t="str">
        <f aca="false">IF(B77="","",IFERROR(INDEX(Tenancies!$D$5:$D$50,MATCH(B77,Tenancies!$A$5:$A$50,0)),"Check ID"))</f>
        <v/>
      </c>
      <c r="E77" s="30"/>
      <c r="F77" s="31"/>
      <c r="G77" s="31"/>
      <c r="H77" s="28"/>
      <c r="I77" s="32" t="str">
        <f aca="false">IF(OR(B77="",E77=""),"",IF(SUMIFS($F$5:$F$304,$B$5:$B$304,B77,$E$5:$E$304,E77)&gt;=IFERROR(INDEX(Tenancies!$G$5:$G$50,MATCH(B77,Tenancies!$A$5:$A$50,0)),0),"Rent complete","Partial"))</f>
        <v/>
      </c>
      <c r="J77" s="28"/>
    </row>
    <row r="78" customFormat="false" ht="15" hidden="false" customHeight="false" outlineLevel="0" collapsed="false">
      <c r="A78" s="27"/>
      <c r="B78" s="28"/>
      <c r="C78" s="29" t="str">
        <f aca="false">IF(B78="","",IFERROR(INDEX(Tenancies!$B$5:$B$50,MATCH(B78,Tenancies!$A$5:$A$50,0)),"Check ID"))</f>
        <v/>
      </c>
      <c r="D78" s="29" t="str">
        <f aca="false">IF(B78="","",IFERROR(INDEX(Tenancies!$D$5:$D$50,MATCH(B78,Tenancies!$A$5:$A$50,0)),"Check ID"))</f>
        <v/>
      </c>
      <c r="E78" s="30"/>
      <c r="F78" s="31"/>
      <c r="G78" s="31"/>
      <c r="H78" s="28"/>
      <c r="I78" s="32" t="str">
        <f aca="false">IF(OR(B78="",E78=""),"",IF(SUMIFS($F$5:$F$304,$B$5:$B$304,B78,$E$5:$E$304,E78)&gt;=IFERROR(INDEX(Tenancies!$G$5:$G$50,MATCH(B78,Tenancies!$A$5:$A$50,0)),0),"Rent complete","Partial"))</f>
        <v/>
      </c>
      <c r="J78" s="28"/>
    </row>
    <row r="79" customFormat="false" ht="15" hidden="false" customHeight="false" outlineLevel="0" collapsed="false">
      <c r="A79" s="27"/>
      <c r="B79" s="28"/>
      <c r="C79" s="29" t="str">
        <f aca="false">IF(B79="","",IFERROR(INDEX(Tenancies!$B$5:$B$50,MATCH(B79,Tenancies!$A$5:$A$50,0)),"Check ID"))</f>
        <v/>
      </c>
      <c r="D79" s="29" t="str">
        <f aca="false">IF(B79="","",IFERROR(INDEX(Tenancies!$D$5:$D$50,MATCH(B79,Tenancies!$A$5:$A$50,0)),"Check ID"))</f>
        <v/>
      </c>
      <c r="E79" s="30"/>
      <c r="F79" s="31"/>
      <c r="G79" s="31"/>
      <c r="H79" s="28"/>
      <c r="I79" s="32" t="str">
        <f aca="false">IF(OR(B79="",E79=""),"",IF(SUMIFS($F$5:$F$304,$B$5:$B$304,B79,$E$5:$E$304,E79)&gt;=IFERROR(INDEX(Tenancies!$G$5:$G$50,MATCH(B79,Tenancies!$A$5:$A$50,0)),0),"Rent complete","Partial"))</f>
        <v/>
      </c>
      <c r="J79" s="28"/>
    </row>
    <row r="80" customFormat="false" ht="15" hidden="false" customHeight="false" outlineLevel="0" collapsed="false">
      <c r="A80" s="27"/>
      <c r="B80" s="28"/>
      <c r="C80" s="29" t="str">
        <f aca="false">IF(B80="","",IFERROR(INDEX(Tenancies!$B$5:$B$50,MATCH(B80,Tenancies!$A$5:$A$50,0)),"Check ID"))</f>
        <v/>
      </c>
      <c r="D80" s="29" t="str">
        <f aca="false">IF(B80="","",IFERROR(INDEX(Tenancies!$D$5:$D$50,MATCH(B80,Tenancies!$A$5:$A$50,0)),"Check ID"))</f>
        <v/>
      </c>
      <c r="E80" s="30"/>
      <c r="F80" s="31"/>
      <c r="G80" s="31"/>
      <c r="H80" s="28"/>
      <c r="I80" s="32" t="str">
        <f aca="false">IF(OR(B80="",E80=""),"",IF(SUMIFS($F$5:$F$304,$B$5:$B$304,B80,$E$5:$E$304,E80)&gt;=IFERROR(INDEX(Tenancies!$G$5:$G$50,MATCH(B80,Tenancies!$A$5:$A$50,0)),0),"Rent complete","Partial"))</f>
        <v/>
      </c>
      <c r="J80" s="28"/>
    </row>
    <row r="81" customFormat="false" ht="15" hidden="false" customHeight="false" outlineLevel="0" collapsed="false">
      <c r="A81" s="27"/>
      <c r="B81" s="28"/>
      <c r="C81" s="29" t="str">
        <f aca="false">IF(B81="","",IFERROR(INDEX(Tenancies!$B$5:$B$50,MATCH(B81,Tenancies!$A$5:$A$50,0)),"Check ID"))</f>
        <v/>
      </c>
      <c r="D81" s="29" t="str">
        <f aca="false">IF(B81="","",IFERROR(INDEX(Tenancies!$D$5:$D$50,MATCH(B81,Tenancies!$A$5:$A$50,0)),"Check ID"))</f>
        <v/>
      </c>
      <c r="E81" s="30"/>
      <c r="F81" s="31"/>
      <c r="G81" s="31"/>
      <c r="H81" s="28"/>
      <c r="I81" s="32" t="str">
        <f aca="false">IF(OR(B81="",E81=""),"",IF(SUMIFS($F$5:$F$304,$B$5:$B$304,B81,$E$5:$E$304,E81)&gt;=IFERROR(INDEX(Tenancies!$G$5:$G$50,MATCH(B81,Tenancies!$A$5:$A$50,0)),0),"Rent complete","Partial"))</f>
        <v/>
      </c>
      <c r="J81" s="28"/>
    </row>
    <row r="82" customFormat="false" ht="15" hidden="false" customHeight="false" outlineLevel="0" collapsed="false">
      <c r="A82" s="27"/>
      <c r="B82" s="28"/>
      <c r="C82" s="29" t="str">
        <f aca="false">IF(B82="","",IFERROR(INDEX(Tenancies!$B$5:$B$50,MATCH(B82,Tenancies!$A$5:$A$50,0)),"Check ID"))</f>
        <v/>
      </c>
      <c r="D82" s="29" t="str">
        <f aca="false">IF(B82="","",IFERROR(INDEX(Tenancies!$D$5:$D$50,MATCH(B82,Tenancies!$A$5:$A$50,0)),"Check ID"))</f>
        <v/>
      </c>
      <c r="E82" s="30"/>
      <c r="F82" s="31"/>
      <c r="G82" s="31"/>
      <c r="H82" s="28"/>
      <c r="I82" s="32" t="str">
        <f aca="false">IF(OR(B82="",E82=""),"",IF(SUMIFS($F$5:$F$304,$B$5:$B$304,B82,$E$5:$E$304,E82)&gt;=IFERROR(INDEX(Tenancies!$G$5:$G$50,MATCH(B82,Tenancies!$A$5:$A$50,0)),0),"Rent complete","Partial"))</f>
        <v/>
      </c>
      <c r="J82" s="28"/>
    </row>
    <row r="83" customFormat="false" ht="15" hidden="false" customHeight="false" outlineLevel="0" collapsed="false">
      <c r="A83" s="27"/>
      <c r="B83" s="28"/>
      <c r="C83" s="29" t="str">
        <f aca="false">IF(B83="","",IFERROR(INDEX(Tenancies!$B$5:$B$50,MATCH(B83,Tenancies!$A$5:$A$50,0)),"Check ID"))</f>
        <v/>
      </c>
      <c r="D83" s="29" t="str">
        <f aca="false">IF(B83="","",IFERROR(INDEX(Tenancies!$D$5:$D$50,MATCH(B83,Tenancies!$A$5:$A$50,0)),"Check ID"))</f>
        <v/>
      </c>
      <c r="E83" s="30"/>
      <c r="F83" s="31"/>
      <c r="G83" s="31"/>
      <c r="H83" s="28"/>
      <c r="I83" s="32" t="str">
        <f aca="false">IF(OR(B83="",E83=""),"",IF(SUMIFS($F$5:$F$304,$B$5:$B$304,B83,$E$5:$E$304,E83)&gt;=IFERROR(INDEX(Tenancies!$G$5:$G$50,MATCH(B83,Tenancies!$A$5:$A$50,0)),0),"Rent complete","Partial"))</f>
        <v/>
      </c>
      <c r="J83" s="28"/>
    </row>
    <row r="84" customFormat="false" ht="15" hidden="false" customHeight="false" outlineLevel="0" collapsed="false">
      <c r="A84" s="27"/>
      <c r="B84" s="28"/>
      <c r="C84" s="29" t="str">
        <f aca="false">IF(B84="","",IFERROR(INDEX(Tenancies!$B$5:$B$50,MATCH(B84,Tenancies!$A$5:$A$50,0)),"Check ID"))</f>
        <v/>
      </c>
      <c r="D84" s="29" t="str">
        <f aca="false">IF(B84="","",IFERROR(INDEX(Tenancies!$D$5:$D$50,MATCH(B84,Tenancies!$A$5:$A$50,0)),"Check ID"))</f>
        <v/>
      </c>
      <c r="E84" s="30"/>
      <c r="F84" s="31"/>
      <c r="G84" s="31"/>
      <c r="H84" s="28"/>
      <c r="I84" s="32" t="str">
        <f aca="false">IF(OR(B84="",E84=""),"",IF(SUMIFS($F$5:$F$304,$B$5:$B$304,B84,$E$5:$E$304,E84)&gt;=IFERROR(INDEX(Tenancies!$G$5:$G$50,MATCH(B84,Tenancies!$A$5:$A$50,0)),0),"Rent complete","Partial"))</f>
        <v/>
      </c>
      <c r="J84" s="28"/>
    </row>
    <row r="85" customFormat="false" ht="15" hidden="false" customHeight="false" outlineLevel="0" collapsed="false">
      <c r="A85" s="27"/>
      <c r="B85" s="28"/>
      <c r="C85" s="29" t="str">
        <f aca="false">IF(B85="","",IFERROR(INDEX(Tenancies!$B$5:$B$50,MATCH(B85,Tenancies!$A$5:$A$50,0)),"Check ID"))</f>
        <v/>
      </c>
      <c r="D85" s="29" t="str">
        <f aca="false">IF(B85="","",IFERROR(INDEX(Tenancies!$D$5:$D$50,MATCH(B85,Tenancies!$A$5:$A$50,0)),"Check ID"))</f>
        <v/>
      </c>
      <c r="E85" s="30"/>
      <c r="F85" s="31"/>
      <c r="G85" s="31"/>
      <c r="H85" s="28"/>
      <c r="I85" s="32" t="str">
        <f aca="false">IF(OR(B85="",E85=""),"",IF(SUMIFS($F$5:$F$304,$B$5:$B$304,B85,$E$5:$E$304,E85)&gt;=IFERROR(INDEX(Tenancies!$G$5:$G$50,MATCH(B85,Tenancies!$A$5:$A$50,0)),0),"Rent complete","Partial"))</f>
        <v/>
      </c>
      <c r="J85" s="28"/>
    </row>
    <row r="86" customFormat="false" ht="15" hidden="false" customHeight="false" outlineLevel="0" collapsed="false">
      <c r="A86" s="27"/>
      <c r="B86" s="28"/>
      <c r="C86" s="29" t="str">
        <f aca="false">IF(B86="","",IFERROR(INDEX(Tenancies!$B$5:$B$50,MATCH(B86,Tenancies!$A$5:$A$50,0)),"Check ID"))</f>
        <v/>
      </c>
      <c r="D86" s="29" t="str">
        <f aca="false">IF(B86="","",IFERROR(INDEX(Tenancies!$D$5:$D$50,MATCH(B86,Tenancies!$A$5:$A$50,0)),"Check ID"))</f>
        <v/>
      </c>
      <c r="E86" s="30"/>
      <c r="F86" s="31"/>
      <c r="G86" s="31"/>
      <c r="H86" s="28"/>
      <c r="I86" s="32" t="str">
        <f aca="false">IF(OR(B86="",E86=""),"",IF(SUMIFS($F$5:$F$304,$B$5:$B$304,B86,$E$5:$E$304,E86)&gt;=IFERROR(INDEX(Tenancies!$G$5:$G$50,MATCH(B86,Tenancies!$A$5:$A$50,0)),0),"Rent complete","Partial"))</f>
        <v/>
      </c>
      <c r="J86" s="28"/>
    </row>
    <row r="87" customFormat="false" ht="15" hidden="false" customHeight="false" outlineLevel="0" collapsed="false">
      <c r="A87" s="27"/>
      <c r="B87" s="28"/>
      <c r="C87" s="29" t="str">
        <f aca="false">IF(B87="","",IFERROR(INDEX(Tenancies!$B$5:$B$50,MATCH(B87,Tenancies!$A$5:$A$50,0)),"Check ID"))</f>
        <v/>
      </c>
      <c r="D87" s="29" t="str">
        <f aca="false">IF(B87="","",IFERROR(INDEX(Tenancies!$D$5:$D$50,MATCH(B87,Tenancies!$A$5:$A$50,0)),"Check ID"))</f>
        <v/>
      </c>
      <c r="E87" s="30"/>
      <c r="F87" s="31"/>
      <c r="G87" s="31"/>
      <c r="H87" s="28"/>
      <c r="I87" s="32" t="str">
        <f aca="false">IF(OR(B87="",E87=""),"",IF(SUMIFS($F$5:$F$304,$B$5:$B$304,B87,$E$5:$E$304,E87)&gt;=IFERROR(INDEX(Tenancies!$G$5:$G$50,MATCH(B87,Tenancies!$A$5:$A$50,0)),0),"Rent complete","Partial"))</f>
        <v/>
      </c>
      <c r="J87" s="28"/>
    </row>
    <row r="88" customFormat="false" ht="15" hidden="false" customHeight="false" outlineLevel="0" collapsed="false">
      <c r="A88" s="27"/>
      <c r="B88" s="28"/>
      <c r="C88" s="29" t="str">
        <f aca="false">IF(B88="","",IFERROR(INDEX(Tenancies!$B$5:$B$50,MATCH(B88,Tenancies!$A$5:$A$50,0)),"Check ID"))</f>
        <v/>
      </c>
      <c r="D88" s="29" t="str">
        <f aca="false">IF(B88="","",IFERROR(INDEX(Tenancies!$D$5:$D$50,MATCH(B88,Tenancies!$A$5:$A$50,0)),"Check ID"))</f>
        <v/>
      </c>
      <c r="E88" s="30"/>
      <c r="F88" s="31"/>
      <c r="G88" s="31"/>
      <c r="H88" s="28"/>
      <c r="I88" s="32" t="str">
        <f aca="false">IF(OR(B88="",E88=""),"",IF(SUMIFS($F$5:$F$304,$B$5:$B$304,B88,$E$5:$E$304,E88)&gt;=IFERROR(INDEX(Tenancies!$G$5:$G$50,MATCH(B88,Tenancies!$A$5:$A$50,0)),0),"Rent complete","Partial"))</f>
        <v/>
      </c>
      <c r="J88" s="28"/>
    </row>
    <row r="89" customFormat="false" ht="15" hidden="false" customHeight="false" outlineLevel="0" collapsed="false">
      <c r="A89" s="27"/>
      <c r="B89" s="28"/>
      <c r="C89" s="29" t="str">
        <f aca="false">IF(B89="","",IFERROR(INDEX(Tenancies!$B$5:$B$50,MATCH(B89,Tenancies!$A$5:$A$50,0)),"Check ID"))</f>
        <v/>
      </c>
      <c r="D89" s="29" t="str">
        <f aca="false">IF(B89="","",IFERROR(INDEX(Tenancies!$D$5:$D$50,MATCH(B89,Tenancies!$A$5:$A$50,0)),"Check ID"))</f>
        <v/>
      </c>
      <c r="E89" s="30"/>
      <c r="F89" s="31"/>
      <c r="G89" s="31"/>
      <c r="H89" s="28"/>
      <c r="I89" s="32" t="str">
        <f aca="false">IF(OR(B89="",E89=""),"",IF(SUMIFS($F$5:$F$304,$B$5:$B$304,B89,$E$5:$E$304,E89)&gt;=IFERROR(INDEX(Tenancies!$G$5:$G$50,MATCH(B89,Tenancies!$A$5:$A$50,0)),0),"Rent complete","Partial"))</f>
        <v/>
      </c>
      <c r="J89" s="28"/>
    </row>
    <row r="90" customFormat="false" ht="15" hidden="false" customHeight="false" outlineLevel="0" collapsed="false">
      <c r="A90" s="27"/>
      <c r="B90" s="28"/>
      <c r="C90" s="29" t="str">
        <f aca="false">IF(B90="","",IFERROR(INDEX(Tenancies!$B$5:$B$50,MATCH(B90,Tenancies!$A$5:$A$50,0)),"Check ID"))</f>
        <v/>
      </c>
      <c r="D90" s="29" t="str">
        <f aca="false">IF(B90="","",IFERROR(INDEX(Tenancies!$D$5:$D$50,MATCH(B90,Tenancies!$A$5:$A$50,0)),"Check ID"))</f>
        <v/>
      </c>
      <c r="E90" s="30"/>
      <c r="F90" s="31"/>
      <c r="G90" s="31"/>
      <c r="H90" s="28"/>
      <c r="I90" s="32" t="str">
        <f aca="false">IF(OR(B90="",E90=""),"",IF(SUMIFS($F$5:$F$304,$B$5:$B$304,B90,$E$5:$E$304,E90)&gt;=IFERROR(INDEX(Tenancies!$G$5:$G$50,MATCH(B90,Tenancies!$A$5:$A$50,0)),0),"Rent complete","Partial"))</f>
        <v/>
      </c>
      <c r="J90" s="28"/>
    </row>
    <row r="91" customFormat="false" ht="15" hidden="false" customHeight="false" outlineLevel="0" collapsed="false">
      <c r="A91" s="27"/>
      <c r="B91" s="28"/>
      <c r="C91" s="29" t="str">
        <f aca="false">IF(B91="","",IFERROR(INDEX(Tenancies!$B$5:$B$50,MATCH(B91,Tenancies!$A$5:$A$50,0)),"Check ID"))</f>
        <v/>
      </c>
      <c r="D91" s="29" t="str">
        <f aca="false">IF(B91="","",IFERROR(INDEX(Tenancies!$D$5:$D$50,MATCH(B91,Tenancies!$A$5:$A$50,0)),"Check ID"))</f>
        <v/>
      </c>
      <c r="E91" s="30"/>
      <c r="F91" s="31"/>
      <c r="G91" s="31"/>
      <c r="H91" s="28"/>
      <c r="I91" s="32" t="str">
        <f aca="false">IF(OR(B91="",E91=""),"",IF(SUMIFS($F$5:$F$304,$B$5:$B$304,B91,$E$5:$E$304,E91)&gt;=IFERROR(INDEX(Tenancies!$G$5:$G$50,MATCH(B91,Tenancies!$A$5:$A$50,0)),0),"Rent complete","Partial"))</f>
        <v/>
      </c>
      <c r="J91" s="28"/>
    </row>
    <row r="92" customFormat="false" ht="15" hidden="false" customHeight="false" outlineLevel="0" collapsed="false">
      <c r="A92" s="27"/>
      <c r="B92" s="28"/>
      <c r="C92" s="29" t="str">
        <f aca="false">IF(B92="","",IFERROR(INDEX(Tenancies!$B$5:$B$50,MATCH(B92,Tenancies!$A$5:$A$50,0)),"Check ID"))</f>
        <v/>
      </c>
      <c r="D92" s="29" t="str">
        <f aca="false">IF(B92="","",IFERROR(INDEX(Tenancies!$D$5:$D$50,MATCH(B92,Tenancies!$A$5:$A$50,0)),"Check ID"))</f>
        <v/>
      </c>
      <c r="E92" s="30"/>
      <c r="F92" s="31"/>
      <c r="G92" s="31"/>
      <c r="H92" s="28"/>
      <c r="I92" s="32" t="str">
        <f aca="false">IF(OR(B92="",E92=""),"",IF(SUMIFS($F$5:$F$304,$B$5:$B$304,B92,$E$5:$E$304,E92)&gt;=IFERROR(INDEX(Tenancies!$G$5:$G$50,MATCH(B92,Tenancies!$A$5:$A$50,0)),0),"Rent complete","Partial"))</f>
        <v/>
      </c>
      <c r="J92" s="28"/>
    </row>
    <row r="93" customFormat="false" ht="15" hidden="false" customHeight="false" outlineLevel="0" collapsed="false">
      <c r="A93" s="27"/>
      <c r="B93" s="28"/>
      <c r="C93" s="29" t="str">
        <f aca="false">IF(B93="","",IFERROR(INDEX(Tenancies!$B$5:$B$50,MATCH(B93,Tenancies!$A$5:$A$50,0)),"Check ID"))</f>
        <v/>
      </c>
      <c r="D93" s="29" t="str">
        <f aca="false">IF(B93="","",IFERROR(INDEX(Tenancies!$D$5:$D$50,MATCH(B93,Tenancies!$A$5:$A$50,0)),"Check ID"))</f>
        <v/>
      </c>
      <c r="E93" s="30"/>
      <c r="F93" s="31"/>
      <c r="G93" s="31"/>
      <c r="H93" s="28"/>
      <c r="I93" s="32" t="str">
        <f aca="false">IF(OR(B93="",E93=""),"",IF(SUMIFS($F$5:$F$304,$B$5:$B$304,B93,$E$5:$E$304,E93)&gt;=IFERROR(INDEX(Tenancies!$G$5:$G$50,MATCH(B93,Tenancies!$A$5:$A$50,0)),0),"Rent complete","Partial"))</f>
        <v/>
      </c>
      <c r="J93" s="28"/>
    </row>
    <row r="94" customFormat="false" ht="15" hidden="false" customHeight="false" outlineLevel="0" collapsed="false">
      <c r="A94" s="27"/>
      <c r="B94" s="28"/>
      <c r="C94" s="29" t="str">
        <f aca="false">IF(B94="","",IFERROR(INDEX(Tenancies!$B$5:$B$50,MATCH(B94,Tenancies!$A$5:$A$50,0)),"Check ID"))</f>
        <v/>
      </c>
      <c r="D94" s="29" t="str">
        <f aca="false">IF(B94="","",IFERROR(INDEX(Tenancies!$D$5:$D$50,MATCH(B94,Tenancies!$A$5:$A$50,0)),"Check ID"))</f>
        <v/>
      </c>
      <c r="E94" s="30"/>
      <c r="F94" s="31"/>
      <c r="G94" s="31"/>
      <c r="H94" s="28"/>
      <c r="I94" s="32" t="str">
        <f aca="false">IF(OR(B94="",E94=""),"",IF(SUMIFS($F$5:$F$304,$B$5:$B$304,B94,$E$5:$E$304,E94)&gt;=IFERROR(INDEX(Tenancies!$G$5:$G$50,MATCH(B94,Tenancies!$A$5:$A$50,0)),0),"Rent complete","Partial"))</f>
        <v/>
      </c>
      <c r="J94" s="28"/>
    </row>
    <row r="95" customFormat="false" ht="15" hidden="false" customHeight="false" outlineLevel="0" collapsed="false">
      <c r="A95" s="27"/>
      <c r="B95" s="28"/>
      <c r="C95" s="29" t="str">
        <f aca="false">IF(B95="","",IFERROR(INDEX(Tenancies!$B$5:$B$50,MATCH(B95,Tenancies!$A$5:$A$50,0)),"Check ID"))</f>
        <v/>
      </c>
      <c r="D95" s="29" t="str">
        <f aca="false">IF(B95="","",IFERROR(INDEX(Tenancies!$D$5:$D$50,MATCH(B95,Tenancies!$A$5:$A$50,0)),"Check ID"))</f>
        <v/>
      </c>
      <c r="E95" s="30"/>
      <c r="F95" s="31"/>
      <c r="G95" s="31"/>
      <c r="H95" s="28"/>
      <c r="I95" s="32" t="str">
        <f aca="false">IF(OR(B95="",E95=""),"",IF(SUMIFS($F$5:$F$304,$B$5:$B$304,B95,$E$5:$E$304,E95)&gt;=IFERROR(INDEX(Tenancies!$G$5:$G$50,MATCH(B95,Tenancies!$A$5:$A$50,0)),0),"Rent complete","Partial"))</f>
        <v/>
      </c>
      <c r="J95" s="28"/>
    </row>
    <row r="96" customFormat="false" ht="15" hidden="false" customHeight="false" outlineLevel="0" collapsed="false">
      <c r="A96" s="27"/>
      <c r="B96" s="28"/>
      <c r="C96" s="29" t="str">
        <f aca="false">IF(B96="","",IFERROR(INDEX(Tenancies!$B$5:$B$50,MATCH(B96,Tenancies!$A$5:$A$50,0)),"Check ID"))</f>
        <v/>
      </c>
      <c r="D96" s="29" t="str">
        <f aca="false">IF(B96="","",IFERROR(INDEX(Tenancies!$D$5:$D$50,MATCH(B96,Tenancies!$A$5:$A$50,0)),"Check ID"))</f>
        <v/>
      </c>
      <c r="E96" s="30"/>
      <c r="F96" s="31"/>
      <c r="G96" s="31"/>
      <c r="H96" s="28"/>
      <c r="I96" s="32" t="str">
        <f aca="false">IF(OR(B96="",E96=""),"",IF(SUMIFS($F$5:$F$304,$B$5:$B$304,B96,$E$5:$E$304,E96)&gt;=IFERROR(INDEX(Tenancies!$G$5:$G$50,MATCH(B96,Tenancies!$A$5:$A$50,0)),0),"Rent complete","Partial"))</f>
        <v/>
      </c>
      <c r="J96" s="28"/>
    </row>
    <row r="97" customFormat="false" ht="15" hidden="false" customHeight="false" outlineLevel="0" collapsed="false">
      <c r="A97" s="27"/>
      <c r="B97" s="28"/>
      <c r="C97" s="29" t="str">
        <f aca="false">IF(B97="","",IFERROR(INDEX(Tenancies!$B$5:$B$50,MATCH(B97,Tenancies!$A$5:$A$50,0)),"Check ID"))</f>
        <v/>
      </c>
      <c r="D97" s="29" t="str">
        <f aca="false">IF(B97="","",IFERROR(INDEX(Tenancies!$D$5:$D$50,MATCH(B97,Tenancies!$A$5:$A$50,0)),"Check ID"))</f>
        <v/>
      </c>
      <c r="E97" s="30"/>
      <c r="F97" s="31"/>
      <c r="G97" s="31"/>
      <c r="H97" s="28"/>
      <c r="I97" s="32" t="str">
        <f aca="false">IF(OR(B97="",E97=""),"",IF(SUMIFS($F$5:$F$304,$B$5:$B$304,B97,$E$5:$E$304,E97)&gt;=IFERROR(INDEX(Tenancies!$G$5:$G$50,MATCH(B97,Tenancies!$A$5:$A$50,0)),0),"Rent complete","Partial"))</f>
        <v/>
      </c>
      <c r="J97" s="28"/>
    </row>
    <row r="98" customFormat="false" ht="15" hidden="false" customHeight="false" outlineLevel="0" collapsed="false">
      <c r="A98" s="27"/>
      <c r="B98" s="28"/>
      <c r="C98" s="29" t="str">
        <f aca="false">IF(B98="","",IFERROR(INDEX(Tenancies!$B$5:$B$50,MATCH(B98,Tenancies!$A$5:$A$50,0)),"Check ID"))</f>
        <v/>
      </c>
      <c r="D98" s="29" t="str">
        <f aca="false">IF(B98="","",IFERROR(INDEX(Tenancies!$D$5:$D$50,MATCH(B98,Tenancies!$A$5:$A$50,0)),"Check ID"))</f>
        <v/>
      </c>
      <c r="E98" s="30"/>
      <c r="F98" s="31"/>
      <c r="G98" s="31"/>
      <c r="H98" s="28"/>
      <c r="I98" s="32" t="str">
        <f aca="false">IF(OR(B98="",E98=""),"",IF(SUMIFS($F$5:$F$304,$B$5:$B$304,B98,$E$5:$E$304,E98)&gt;=IFERROR(INDEX(Tenancies!$G$5:$G$50,MATCH(B98,Tenancies!$A$5:$A$50,0)),0),"Rent complete","Partial"))</f>
        <v/>
      </c>
      <c r="J98" s="28"/>
    </row>
    <row r="99" customFormat="false" ht="15" hidden="false" customHeight="false" outlineLevel="0" collapsed="false">
      <c r="A99" s="27"/>
      <c r="B99" s="28"/>
      <c r="C99" s="29" t="str">
        <f aca="false">IF(B99="","",IFERROR(INDEX(Tenancies!$B$5:$B$50,MATCH(B99,Tenancies!$A$5:$A$50,0)),"Check ID"))</f>
        <v/>
      </c>
      <c r="D99" s="29" t="str">
        <f aca="false">IF(B99="","",IFERROR(INDEX(Tenancies!$D$5:$D$50,MATCH(B99,Tenancies!$A$5:$A$50,0)),"Check ID"))</f>
        <v/>
      </c>
      <c r="E99" s="30"/>
      <c r="F99" s="31"/>
      <c r="G99" s="31"/>
      <c r="H99" s="28"/>
      <c r="I99" s="32" t="str">
        <f aca="false">IF(OR(B99="",E99=""),"",IF(SUMIFS($F$5:$F$304,$B$5:$B$304,B99,$E$5:$E$304,E99)&gt;=IFERROR(INDEX(Tenancies!$G$5:$G$50,MATCH(B99,Tenancies!$A$5:$A$50,0)),0),"Rent complete","Partial"))</f>
        <v/>
      </c>
      <c r="J99" s="28"/>
    </row>
    <row r="100" customFormat="false" ht="15" hidden="false" customHeight="false" outlineLevel="0" collapsed="false">
      <c r="A100" s="27"/>
      <c r="B100" s="28"/>
      <c r="C100" s="29" t="str">
        <f aca="false">IF(B100="","",IFERROR(INDEX(Tenancies!$B$5:$B$50,MATCH(B100,Tenancies!$A$5:$A$50,0)),"Check ID"))</f>
        <v/>
      </c>
      <c r="D100" s="29" t="str">
        <f aca="false">IF(B100="","",IFERROR(INDEX(Tenancies!$D$5:$D$50,MATCH(B100,Tenancies!$A$5:$A$50,0)),"Check ID"))</f>
        <v/>
      </c>
      <c r="E100" s="30"/>
      <c r="F100" s="31"/>
      <c r="G100" s="31"/>
      <c r="H100" s="28"/>
      <c r="I100" s="32" t="str">
        <f aca="false">IF(OR(B100="",E100=""),"",IF(SUMIFS($F$5:$F$304,$B$5:$B$304,B100,$E$5:$E$304,E100)&gt;=IFERROR(INDEX(Tenancies!$G$5:$G$50,MATCH(B100,Tenancies!$A$5:$A$50,0)),0),"Rent complete","Partial"))</f>
        <v/>
      </c>
      <c r="J100" s="28"/>
    </row>
    <row r="101" customFormat="false" ht="15" hidden="false" customHeight="false" outlineLevel="0" collapsed="false">
      <c r="A101" s="27"/>
      <c r="B101" s="28"/>
      <c r="C101" s="29" t="str">
        <f aca="false">IF(B101="","",IFERROR(INDEX(Tenancies!$B$5:$B$50,MATCH(B101,Tenancies!$A$5:$A$50,0)),"Check ID"))</f>
        <v/>
      </c>
      <c r="D101" s="29" t="str">
        <f aca="false">IF(B101="","",IFERROR(INDEX(Tenancies!$D$5:$D$50,MATCH(B101,Tenancies!$A$5:$A$50,0)),"Check ID"))</f>
        <v/>
      </c>
      <c r="E101" s="30"/>
      <c r="F101" s="31"/>
      <c r="G101" s="31"/>
      <c r="H101" s="28"/>
      <c r="I101" s="32" t="str">
        <f aca="false">IF(OR(B101="",E101=""),"",IF(SUMIFS($F$5:$F$304,$B$5:$B$304,B101,$E$5:$E$304,E101)&gt;=IFERROR(INDEX(Tenancies!$G$5:$G$50,MATCH(B101,Tenancies!$A$5:$A$50,0)),0),"Rent complete","Partial"))</f>
        <v/>
      </c>
      <c r="J101" s="28"/>
    </row>
    <row r="102" customFormat="false" ht="15" hidden="false" customHeight="false" outlineLevel="0" collapsed="false">
      <c r="A102" s="27"/>
      <c r="B102" s="28"/>
      <c r="C102" s="29" t="str">
        <f aca="false">IF(B102="","",IFERROR(INDEX(Tenancies!$B$5:$B$50,MATCH(B102,Tenancies!$A$5:$A$50,0)),"Check ID"))</f>
        <v/>
      </c>
      <c r="D102" s="29" t="str">
        <f aca="false">IF(B102="","",IFERROR(INDEX(Tenancies!$D$5:$D$50,MATCH(B102,Tenancies!$A$5:$A$50,0)),"Check ID"))</f>
        <v/>
      </c>
      <c r="E102" s="30"/>
      <c r="F102" s="31"/>
      <c r="G102" s="31"/>
      <c r="H102" s="28"/>
      <c r="I102" s="32" t="str">
        <f aca="false">IF(OR(B102="",E102=""),"",IF(SUMIFS($F$5:$F$304,$B$5:$B$304,B102,$E$5:$E$304,E102)&gt;=IFERROR(INDEX(Tenancies!$G$5:$G$50,MATCH(B102,Tenancies!$A$5:$A$50,0)),0),"Rent complete","Partial"))</f>
        <v/>
      </c>
      <c r="J102" s="28"/>
    </row>
    <row r="103" customFormat="false" ht="15" hidden="false" customHeight="false" outlineLevel="0" collapsed="false">
      <c r="A103" s="27"/>
      <c r="B103" s="28"/>
      <c r="C103" s="29" t="str">
        <f aca="false">IF(B103="","",IFERROR(INDEX(Tenancies!$B$5:$B$50,MATCH(B103,Tenancies!$A$5:$A$50,0)),"Check ID"))</f>
        <v/>
      </c>
      <c r="D103" s="29" t="str">
        <f aca="false">IF(B103="","",IFERROR(INDEX(Tenancies!$D$5:$D$50,MATCH(B103,Tenancies!$A$5:$A$50,0)),"Check ID"))</f>
        <v/>
      </c>
      <c r="E103" s="30"/>
      <c r="F103" s="31"/>
      <c r="G103" s="31"/>
      <c r="H103" s="28"/>
      <c r="I103" s="32" t="str">
        <f aca="false">IF(OR(B103="",E103=""),"",IF(SUMIFS($F$5:$F$304,$B$5:$B$304,B103,$E$5:$E$304,E103)&gt;=IFERROR(INDEX(Tenancies!$G$5:$G$50,MATCH(B103,Tenancies!$A$5:$A$50,0)),0),"Rent complete","Partial"))</f>
        <v/>
      </c>
      <c r="J103" s="28"/>
    </row>
    <row r="104" customFormat="false" ht="15" hidden="false" customHeight="false" outlineLevel="0" collapsed="false">
      <c r="A104" s="27"/>
      <c r="B104" s="28"/>
      <c r="C104" s="29" t="str">
        <f aca="false">IF(B104="","",IFERROR(INDEX(Tenancies!$B$5:$B$50,MATCH(B104,Tenancies!$A$5:$A$50,0)),"Check ID"))</f>
        <v/>
      </c>
      <c r="D104" s="29" t="str">
        <f aca="false">IF(B104="","",IFERROR(INDEX(Tenancies!$D$5:$D$50,MATCH(B104,Tenancies!$A$5:$A$50,0)),"Check ID"))</f>
        <v/>
      </c>
      <c r="E104" s="30"/>
      <c r="F104" s="31"/>
      <c r="G104" s="31"/>
      <c r="H104" s="28"/>
      <c r="I104" s="32" t="str">
        <f aca="false">IF(OR(B104="",E104=""),"",IF(SUMIFS($F$5:$F$304,$B$5:$B$304,B104,$E$5:$E$304,E104)&gt;=IFERROR(INDEX(Tenancies!$G$5:$G$50,MATCH(B104,Tenancies!$A$5:$A$50,0)),0),"Rent complete","Partial"))</f>
        <v/>
      </c>
      <c r="J104" s="28"/>
    </row>
    <row r="105" customFormat="false" ht="15" hidden="false" customHeight="false" outlineLevel="0" collapsed="false">
      <c r="A105" s="27"/>
      <c r="B105" s="28"/>
      <c r="C105" s="29" t="str">
        <f aca="false">IF(B105="","",IFERROR(INDEX(Tenancies!$B$5:$B$50,MATCH(B105,Tenancies!$A$5:$A$50,0)),"Check ID"))</f>
        <v/>
      </c>
      <c r="D105" s="29" t="str">
        <f aca="false">IF(B105="","",IFERROR(INDEX(Tenancies!$D$5:$D$50,MATCH(B105,Tenancies!$A$5:$A$50,0)),"Check ID"))</f>
        <v/>
      </c>
      <c r="E105" s="30"/>
      <c r="F105" s="31"/>
      <c r="G105" s="31"/>
      <c r="H105" s="28"/>
      <c r="I105" s="32" t="str">
        <f aca="false">IF(OR(B105="",E105=""),"",IF(SUMIFS($F$5:$F$304,$B$5:$B$304,B105,$E$5:$E$304,E105)&gt;=IFERROR(INDEX(Tenancies!$G$5:$G$50,MATCH(B105,Tenancies!$A$5:$A$50,0)),0),"Rent complete","Partial"))</f>
        <v/>
      </c>
      <c r="J105" s="28"/>
    </row>
    <row r="106" customFormat="false" ht="15" hidden="false" customHeight="false" outlineLevel="0" collapsed="false">
      <c r="A106" s="27"/>
      <c r="B106" s="28"/>
      <c r="C106" s="29" t="str">
        <f aca="false">IF(B106="","",IFERROR(INDEX(Tenancies!$B$5:$B$50,MATCH(B106,Tenancies!$A$5:$A$50,0)),"Check ID"))</f>
        <v/>
      </c>
      <c r="D106" s="29" t="str">
        <f aca="false">IF(B106="","",IFERROR(INDEX(Tenancies!$D$5:$D$50,MATCH(B106,Tenancies!$A$5:$A$50,0)),"Check ID"))</f>
        <v/>
      </c>
      <c r="E106" s="30"/>
      <c r="F106" s="31"/>
      <c r="G106" s="31"/>
      <c r="H106" s="28"/>
      <c r="I106" s="32" t="str">
        <f aca="false">IF(OR(B106="",E106=""),"",IF(SUMIFS($F$5:$F$304,$B$5:$B$304,B106,$E$5:$E$304,E106)&gt;=IFERROR(INDEX(Tenancies!$G$5:$G$50,MATCH(B106,Tenancies!$A$5:$A$50,0)),0),"Rent complete","Partial"))</f>
        <v/>
      </c>
      <c r="J106" s="28"/>
    </row>
    <row r="107" customFormat="false" ht="15" hidden="false" customHeight="false" outlineLevel="0" collapsed="false">
      <c r="A107" s="27"/>
      <c r="B107" s="28"/>
      <c r="C107" s="29" t="str">
        <f aca="false">IF(B107="","",IFERROR(INDEX(Tenancies!$B$5:$B$50,MATCH(B107,Tenancies!$A$5:$A$50,0)),"Check ID"))</f>
        <v/>
      </c>
      <c r="D107" s="29" t="str">
        <f aca="false">IF(B107="","",IFERROR(INDEX(Tenancies!$D$5:$D$50,MATCH(B107,Tenancies!$A$5:$A$50,0)),"Check ID"))</f>
        <v/>
      </c>
      <c r="E107" s="30"/>
      <c r="F107" s="31"/>
      <c r="G107" s="31"/>
      <c r="H107" s="28"/>
      <c r="I107" s="32" t="str">
        <f aca="false">IF(OR(B107="",E107=""),"",IF(SUMIFS($F$5:$F$304,$B$5:$B$304,B107,$E$5:$E$304,E107)&gt;=IFERROR(INDEX(Tenancies!$G$5:$G$50,MATCH(B107,Tenancies!$A$5:$A$50,0)),0),"Rent complete","Partial"))</f>
        <v/>
      </c>
      <c r="J107" s="28"/>
    </row>
    <row r="108" customFormat="false" ht="15" hidden="false" customHeight="false" outlineLevel="0" collapsed="false">
      <c r="A108" s="27"/>
      <c r="B108" s="28"/>
      <c r="C108" s="29" t="str">
        <f aca="false">IF(B108="","",IFERROR(INDEX(Tenancies!$B$5:$B$50,MATCH(B108,Tenancies!$A$5:$A$50,0)),"Check ID"))</f>
        <v/>
      </c>
      <c r="D108" s="29" t="str">
        <f aca="false">IF(B108="","",IFERROR(INDEX(Tenancies!$D$5:$D$50,MATCH(B108,Tenancies!$A$5:$A$50,0)),"Check ID"))</f>
        <v/>
      </c>
      <c r="E108" s="30"/>
      <c r="F108" s="31"/>
      <c r="G108" s="31"/>
      <c r="H108" s="28"/>
      <c r="I108" s="32" t="str">
        <f aca="false">IF(OR(B108="",E108=""),"",IF(SUMIFS($F$5:$F$304,$B$5:$B$304,B108,$E$5:$E$304,E108)&gt;=IFERROR(INDEX(Tenancies!$G$5:$G$50,MATCH(B108,Tenancies!$A$5:$A$50,0)),0),"Rent complete","Partial"))</f>
        <v/>
      </c>
      <c r="J108" s="28"/>
    </row>
    <row r="109" customFormat="false" ht="15" hidden="false" customHeight="false" outlineLevel="0" collapsed="false">
      <c r="A109" s="27"/>
      <c r="B109" s="28"/>
      <c r="C109" s="29" t="str">
        <f aca="false">IF(B109="","",IFERROR(INDEX(Tenancies!$B$5:$B$50,MATCH(B109,Tenancies!$A$5:$A$50,0)),"Check ID"))</f>
        <v/>
      </c>
      <c r="D109" s="29" t="str">
        <f aca="false">IF(B109="","",IFERROR(INDEX(Tenancies!$D$5:$D$50,MATCH(B109,Tenancies!$A$5:$A$50,0)),"Check ID"))</f>
        <v/>
      </c>
      <c r="E109" s="30"/>
      <c r="F109" s="31"/>
      <c r="G109" s="31"/>
      <c r="H109" s="28"/>
      <c r="I109" s="32" t="str">
        <f aca="false">IF(OR(B109="",E109=""),"",IF(SUMIFS($F$5:$F$304,$B$5:$B$304,B109,$E$5:$E$304,E109)&gt;=IFERROR(INDEX(Tenancies!$G$5:$G$50,MATCH(B109,Tenancies!$A$5:$A$50,0)),0),"Rent complete","Partial"))</f>
        <v/>
      </c>
      <c r="J109" s="28"/>
    </row>
    <row r="110" customFormat="false" ht="15" hidden="false" customHeight="false" outlineLevel="0" collapsed="false">
      <c r="A110" s="27"/>
      <c r="B110" s="28"/>
      <c r="C110" s="29" t="str">
        <f aca="false">IF(B110="","",IFERROR(INDEX(Tenancies!$B$5:$B$50,MATCH(B110,Tenancies!$A$5:$A$50,0)),"Check ID"))</f>
        <v/>
      </c>
      <c r="D110" s="29" t="str">
        <f aca="false">IF(B110="","",IFERROR(INDEX(Tenancies!$D$5:$D$50,MATCH(B110,Tenancies!$A$5:$A$50,0)),"Check ID"))</f>
        <v/>
      </c>
      <c r="E110" s="30"/>
      <c r="F110" s="31"/>
      <c r="G110" s="31"/>
      <c r="H110" s="28"/>
      <c r="I110" s="32" t="str">
        <f aca="false">IF(OR(B110="",E110=""),"",IF(SUMIFS($F$5:$F$304,$B$5:$B$304,B110,$E$5:$E$304,E110)&gt;=IFERROR(INDEX(Tenancies!$G$5:$G$50,MATCH(B110,Tenancies!$A$5:$A$50,0)),0),"Rent complete","Partial"))</f>
        <v/>
      </c>
      <c r="J110" s="28"/>
    </row>
    <row r="111" customFormat="false" ht="15" hidden="false" customHeight="false" outlineLevel="0" collapsed="false">
      <c r="A111" s="27"/>
      <c r="B111" s="28"/>
      <c r="C111" s="29" t="str">
        <f aca="false">IF(B111="","",IFERROR(INDEX(Tenancies!$B$5:$B$50,MATCH(B111,Tenancies!$A$5:$A$50,0)),"Check ID"))</f>
        <v/>
      </c>
      <c r="D111" s="29" t="str">
        <f aca="false">IF(B111="","",IFERROR(INDEX(Tenancies!$D$5:$D$50,MATCH(B111,Tenancies!$A$5:$A$50,0)),"Check ID"))</f>
        <v/>
      </c>
      <c r="E111" s="30"/>
      <c r="F111" s="31"/>
      <c r="G111" s="31"/>
      <c r="H111" s="28"/>
      <c r="I111" s="32" t="str">
        <f aca="false">IF(OR(B111="",E111=""),"",IF(SUMIFS($F$5:$F$304,$B$5:$B$304,B111,$E$5:$E$304,E111)&gt;=IFERROR(INDEX(Tenancies!$G$5:$G$50,MATCH(B111,Tenancies!$A$5:$A$50,0)),0),"Rent complete","Partial"))</f>
        <v/>
      </c>
      <c r="J111" s="28"/>
    </row>
    <row r="112" customFormat="false" ht="15" hidden="false" customHeight="false" outlineLevel="0" collapsed="false">
      <c r="A112" s="27"/>
      <c r="B112" s="28"/>
      <c r="C112" s="29" t="str">
        <f aca="false">IF(B112="","",IFERROR(INDEX(Tenancies!$B$5:$B$50,MATCH(B112,Tenancies!$A$5:$A$50,0)),"Check ID"))</f>
        <v/>
      </c>
      <c r="D112" s="29" t="str">
        <f aca="false">IF(B112="","",IFERROR(INDEX(Tenancies!$D$5:$D$50,MATCH(B112,Tenancies!$A$5:$A$50,0)),"Check ID"))</f>
        <v/>
      </c>
      <c r="E112" s="30"/>
      <c r="F112" s="31"/>
      <c r="G112" s="31"/>
      <c r="H112" s="28"/>
      <c r="I112" s="32" t="str">
        <f aca="false">IF(OR(B112="",E112=""),"",IF(SUMIFS($F$5:$F$304,$B$5:$B$304,B112,$E$5:$E$304,E112)&gt;=IFERROR(INDEX(Tenancies!$G$5:$G$50,MATCH(B112,Tenancies!$A$5:$A$50,0)),0),"Rent complete","Partial"))</f>
        <v/>
      </c>
      <c r="J112" s="28"/>
    </row>
    <row r="113" customFormat="false" ht="15" hidden="false" customHeight="false" outlineLevel="0" collapsed="false">
      <c r="A113" s="27"/>
      <c r="B113" s="28"/>
      <c r="C113" s="29" t="str">
        <f aca="false">IF(B113="","",IFERROR(INDEX(Tenancies!$B$5:$B$50,MATCH(B113,Tenancies!$A$5:$A$50,0)),"Check ID"))</f>
        <v/>
      </c>
      <c r="D113" s="29" t="str">
        <f aca="false">IF(B113="","",IFERROR(INDEX(Tenancies!$D$5:$D$50,MATCH(B113,Tenancies!$A$5:$A$50,0)),"Check ID"))</f>
        <v/>
      </c>
      <c r="E113" s="30"/>
      <c r="F113" s="31"/>
      <c r="G113" s="31"/>
      <c r="H113" s="28"/>
      <c r="I113" s="32" t="str">
        <f aca="false">IF(OR(B113="",E113=""),"",IF(SUMIFS($F$5:$F$304,$B$5:$B$304,B113,$E$5:$E$304,E113)&gt;=IFERROR(INDEX(Tenancies!$G$5:$G$50,MATCH(B113,Tenancies!$A$5:$A$50,0)),0),"Rent complete","Partial"))</f>
        <v/>
      </c>
      <c r="J113" s="28"/>
    </row>
    <row r="114" customFormat="false" ht="15" hidden="false" customHeight="false" outlineLevel="0" collapsed="false">
      <c r="A114" s="27"/>
      <c r="B114" s="28"/>
      <c r="C114" s="29" t="str">
        <f aca="false">IF(B114="","",IFERROR(INDEX(Tenancies!$B$5:$B$50,MATCH(B114,Tenancies!$A$5:$A$50,0)),"Check ID"))</f>
        <v/>
      </c>
      <c r="D114" s="29" t="str">
        <f aca="false">IF(B114="","",IFERROR(INDEX(Tenancies!$D$5:$D$50,MATCH(B114,Tenancies!$A$5:$A$50,0)),"Check ID"))</f>
        <v/>
      </c>
      <c r="E114" s="30"/>
      <c r="F114" s="31"/>
      <c r="G114" s="31"/>
      <c r="H114" s="28"/>
      <c r="I114" s="32" t="str">
        <f aca="false">IF(OR(B114="",E114=""),"",IF(SUMIFS($F$5:$F$304,$B$5:$B$304,B114,$E$5:$E$304,E114)&gt;=IFERROR(INDEX(Tenancies!$G$5:$G$50,MATCH(B114,Tenancies!$A$5:$A$50,0)),0),"Rent complete","Partial"))</f>
        <v/>
      </c>
      <c r="J114" s="28"/>
    </row>
    <row r="115" customFormat="false" ht="15" hidden="false" customHeight="false" outlineLevel="0" collapsed="false">
      <c r="A115" s="27"/>
      <c r="B115" s="28"/>
      <c r="C115" s="29" t="str">
        <f aca="false">IF(B115="","",IFERROR(INDEX(Tenancies!$B$5:$B$50,MATCH(B115,Tenancies!$A$5:$A$50,0)),"Check ID"))</f>
        <v/>
      </c>
      <c r="D115" s="29" t="str">
        <f aca="false">IF(B115="","",IFERROR(INDEX(Tenancies!$D$5:$D$50,MATCH(B115,Tenancies!$A$5:$A$50,0)),"Check ID"))</f>
        <v/>
      </c>
      <c r="E115" s="30"/>
      <c r="F115" s="31"/>
      <c r="G115" s="31"/>
      <c r="H115" s="28"/>
      <c r="I115" s="32" t="str">
        <f aca="false">IF(OR(B115="",E115=""),"",IF(SUMIFS($F$5:$F$304,$B$5:$B$304,B115,$E$5:$E$304,E115)&gt;=IFERROR(INDEX(Tenancies!$G$5:$G$50,MATCH(B115,Tenancies!$A$5:$A$50,0)),0),"Rent complete","Partial"))</f>
        <v/>
      </c>
      <c r="J115" s="28"/>
    </row>
    <row r="116" customFormat="false" ht="15" hidden="false" customHeight="false" outlineLevel="0" collapsed="false">
      <c r="A116" s="27"/>
      <c r="B116" s="28"/>
      <c r="C116" s="29" t="str">
        <f aca="false">IF(B116="","",IFERROR(INDEX(Tenancies!$B$5:$B$50,MATCH(B116,Tenancies!$A$5:$A$50,0)),"Check ID"))</f>
        <v/>
      </c>
      <c r="D116" s="29" t="str">
        <f aca="false">IF(B116="","",IFERROR(INDEX(Tenancies!$D$5:$D$50,MATCH(B116,Tenancies!$A$5:$A$50,0)),"Check ID"))</f>
        <v/>
      </c>
      <c r="E116" s="30"/>
      <c r="F116" s="31"/>
      <c r="G116" s="31"/>
      <c r="H116" s="28"/>
      <c r="I116" s="32" t="str">
        <f aca="false">IF(OR(B116="",E116=""),"",IF(SUMIFS($F$5:$F$304,$B$5:$B$304,B116,$E$5:$E$304,E116)&gt;=IFERROR(INDEX(Tenancies!$G$5:$G$50,MATCH(B116,Tenancies!$A$5:$A$50,0)),0),"Rent complete","Partial"))</f>
        <v/>
      </c>
      <c r="J116" s="28"/>
    </row>
    <row r="117" customFormat="false" ht="15" hidden="false" customHeight="false" outlineLevel="0" collapsed="false">
      <c r="A117" s="27"/>
      <c r="B117" s="28"/>
      <c r="C117" s="29" t="str">
        <f aca="false">IF(B117="","",IFERROR(INDEX(Tenancies!$B$5:$B$50,MATCH(B117,Tenancies!$A$5:$A$50,0)),"Check ID"))</f>
        <v/>
      </c>
      <c r="D117" s="29" t="str">
        <f aca="false">IF(B117="","",IFERROR(INDEX(Tenancies!$D$5:$D$50,MATCH(B117,Tenancies!$A$5:$A$50,0)),"Check ID"))</f>
        <v/>
      </c>
      <c r="E117" s="30"/>
      <c r="F117" s="31"/>
      <c r="G117" s="31"/>
      <c r="H117" s="28"/>
      <c r="I117" s="32" t="str">
        <f aca="false">IF(OR(B117="",E117=""),"",IF(SUMIFS($F$5:$F$304,$B$5:$B$304,B117,$E$5:$E$304,E117)&gt;=IFERROR(INDEX(Tenancies!$G$5:$G$50,MATCH(B117,Tenancies!$A$5:$A$50,0)),0),"Rent complete","Partial"))</f>
        <v/>
      </c>
      <c r="J117" s="28"/>
    </row>
    <row r="118" customFormat="false" ht="15" hidden="false" customHeight="false" outlineLevel="0" collapsed="false">
      <c r="A118" s="27"/>
      <c r="B118" s="28"/>
      <c r="C118" s="29" t="str">
        <f aca="false">IF(B118="","",IFERROR(INDEX(Tenancies!$B$5:$B$50,MATCH(B118,Tenancies!$A$5:$A$50,0)),"Check ID"))</f>
        <v/>
      </c>
      <c r="D118" s="29" t="str">
        <f aca="false">IF(B118="","",IFERROR(INDEX(Tenancies!$D$5:$D$50,MATCH(B118,Tenancies!$A$5:$A$50,0)),"Check ID"))</f>
        <v/>
      </c>
      <c r="E118" s="30"/>
      <c r="F118" s="31"/>
      <c r="G118" s="31"/>
      <c r="H118" s="28"/>
      <c r="I118" s="32" t="str">
        <f aca="false">IF(OR(B118="",E118=""),"",IF(SUMIFS($F$5:$F$304,$B$5:$B$304,B118,$E$5:$E$304,E118)&gt;=IFERROR(INDEX(Tenancies!$G$5:$G$50,MATCH(B118,Tenancies!$A$5:$A$50,0)),0),"Rent complete","Partial"))</f>
        <v/>
      </c>
      <c r="J118" s="28"/>
    </row>
    <row r="119" customFormat="false" ht="15" hidden="false" customHeight="false" outlineLevel="0" collapsed="false">
      <c r="A119" s="27"/>
      <c r="B119" s="28"/>
      <c r="C119" s="29" t="str">
        <f aca="false">IF(B119="","",IFERROR(INDEX(Tenancies!$B$5:$B$50,MATCH(B119,Tenancies!$A$5:$A$50,0)),"Check ID"))</f>
        <v/>
      </c>
      <c r="D119" s="29" t="str">
        <f aca="false">IF(B119="","",IFERROR(INDEX(Tenancies!$D$5:$D$50,MATCH(B119,Tenancies!$A$5:$A$50,0)),"Check ID"))</f>
        <v/>
      </c>
      <c r="E119" s="30"/>
      <c r="F119" s="31"/>
      <c r="G119" s="31"/>
      <c r="H119" s="28"/>
      <c r="I119" s="32" t="str">
        <f aca="false">IF(OR(B119="",E119=""),"",IF(SUMIFS($F$5:$F$304,$B$5:$B$304,B119,$E$5:$E$304,E119)&gt;=IFERROR(INDEX(Tenancies!$G$5:$G$50,MATCH(B119,Tenancies!$A$5:$A$50,0)),0),"Rent complete","Partial"))</f>
        <v/>
      </c>
      <c r="J119" s="28"/>
    </row>
    <row r="120" customFormat="false" ht="15" hidden="false" customHeight="false" outlineLevel="0" collapsed="false">
      <c r="A120" s="27"/>
      <c r="B120" s="28"/>
      <c r="C120" s="29" t="str">
        <f aca="false">IF(B120="","",IFERROR(INDEX(Tenancies!$B$5:$B$50,MATCH(B120,Tenancies!$A$5:$A$50,0)),"Check ID"))</f>
        <v/>
      </c>
      <c r="D120" s="29" t="str">
        <f aca="false">IF(B120="","",IFERROR(INDEX(Tenancies!$D$5:$D$50,MATCH(B120,Tenancies!$A$5:$A$50,0)),"Check ID"))</f>
        <v/>
      </c>
      <c r="E120" s="30"/>
      <c r="F120" s="31"/>
      <c r="G120" s="31"/>
      <c r="H120" s="28"/>
      <c r="I120" s="32" t="str">
        <f aca="false">IF(OR(B120="",E120=""),"",IF(SUMIFS($F$5:$F$304,$B$5:$B$304,B120,$E$5:$E$304,E120)&gt;=IFERROR(INDEX(Tenancies!$G$5:$G$50,MATCH(B120,Tenancies!$A$5:$A$50,0)),0),"Rent complete","Partial"))</f>
        <v/>
      </c>
      <c r="J120" s="28"/>
    </row>
    <row r="121" customFormat="false" ht="15" hidden="false" customHeight="false" outlineLevel="0" collapsed="false">
      <c r="A121" s="27"/>
      <c r="B121" s="28"/>
      <c r="C121" s="29" t="str">
        <f aca="false">IF(B121="","",IFERROR(INDEX(Tenancies!$B$5:$B$50,MATCH(B121,Tenancies!$A$5:$A$50,0)),"Check ID"))</f>
        <v/>
      </c>
      <c r="D121" s="29" t="str">
        <f aca="false">IF(B121="","",IFERROR(INDEX(Tenancies!$D$5:$D$50,MATCH(B121,Tenancies!$A$5:$A$50,0)),"Check ID"))</f>
        <v/>
      </c>
      <c r="E121" s="30"/>
      <c r="F121" s="31"/>
      <c r="G121" s="31"/>
      <c r="H121" s="28"/>
      <c r="I121" s="32" t="str">
        <f aca="false">IF(OR(B121="",E121=""),"",IF(SUMIFS($F$5:$F$304,$B$5:$B$304,B121,$E$5:$E$304,E121)&gt;=IFERROR(INDEX(Tenancies!$G$5:$G$50,MATCH(B121,Tenancies!$A$5:$A$50,0)),0),"Rent complete","Partial"))</f>
        <v/>
      </c>
      <c r="J121" s="28"/>
    </row>
    <row r="122" customFormat="false" ht="15" hidden="false" customHeight="false" outlineLevel="0" collapsed="false">
      <c r="A122" s="27"/>
      <c r="B122" s="28"/>
      <c r="C122" s="29" t="str">
        <f aca="false">IF(B122="","",IFERROR(INDEX(Tenancies!$B$5:$B$50,MATCH(B122,Tenancies!$A$5:$A$50,0)),"Check ID"))</f>
        <v/>
      </c>
      <c r="D122" s="29" t="str">
        <f aca="false">IF(B122="","",IFERROR(INDEX(Tenancies!$D$5:$D$50,MATCH(B122,Tenancies!$A$5:$A$50,0)),"Check ID"))</f>
        <v/>
      </c>
      <c r="E122" s="30"/>
      <c r="F122" s="31"/>
      <c r="G122" s="31"/>
      <c r="H122" s="28"/>
      <c r="I122" s="32" t="str">
        <f aca="false">IF(OR(B122="",E122=""),"",IF(SUMIFS($F$5:$F$304,$B$5:$B$304,B122,$E$5:$E$304,E122)&gt;=IFERROR(INDEX(Tenancies!$G$5:$G$50,MATCH(B122,Tenancies!$A$5:$A$50,0)),0),"Rent complete","Partial"))</f>
        <v/>
      </c>
      <c r="J122" s="28"/>
    </row>
    <row r="123" customFormat="false" ht="15" hidden="false" customHeight="false" outlineLevel="0" collapsed="false">
      <c r="A123" s="27"/>
      <c r="B123" s="28"/>
      <c r="C123" s="29" t="str">
        <f aca="false">IF(B123="","",IFERROR(INDEX(Tenancies!$B$5:$B$50,MATCH(B123,Tenancies!$A$5:$A$50,0)),"Check ID"))</f>
        <v/>
      </c>
      <c r="D123" s="29" t="str">
        <f aca="false">IF(B123="","",IFERROR(INDEX(Tenancies!$D$5:$D$50,MATCH(B123,Tenancies!$A$5:$A$50,0)),"Check ID"))</f>
        <v/>
      </c>
      <c r="E123" s="30"/>
      <c r="F123" s="31"/>
      <c r="G123" s="31"/>
      <c r="H123" s="28"/>
      <c r="I123" s="32" t="str">
        <f aca="false">IF(OR(B123="",E123=""),"",IF(SUMIFS($F$5:$F$304,$B$5:$B$304,B123,$E$5:$E$304,E123)&gt;=IFERROR(INDEX(Tenancies!$G$5:$G$50,MATCH(B123,Tenancies!$A$5:$A$50,0)),0),"Rent complete","Partial"))</f>
        <v/>
      </c>
      <c r="J123" s="28"/>
    </row>
    <row r="124" customFormat="false" ht="15" hidden="false" customHeight="false" outlineLevel="0" collapsed="false">
      <c r="A124" s="27"/>
      <c r="B124" s="28"/>
      <c r="C124" s="29" t="str">
        <f aca="false">IF(B124="","",IFERROR(INDEX(Tenancies!$B$5:$B$50,MATCH(B124,Tenancies!$A$5:$A$50,0)),"Check ID"))</f>
        <v/>
      </c>
      <c r="D124" s="29" t="str">
        <f aca="false">IF(B124="","",IFERROR(INDEX(Tenancies!$D$5:$D$50,MATCH(B124,Tenancies!$A$5:$A$50,0)),"Check ID"))</f>
        <v/>
      </c>
      <c r="E124" s="30"/>
      <c r="F124" s="31"/>
      <c r="G124" s="31"/>
      <c r="H124" s="28"/>
      <c r="I124" s="32" t="str">
        <f aca="false">IF(OR(B124="",E124=""),"",IF(SUMIFS($F$5:$F$304,$B$5:$B$304,B124,$E$5:$E$304,E124)&gt;=IFERROR(INDEX(Tenancies!$G$5:$G$50,MATCH(B124,Tenancies!$A$5:$A$50,0)),0),"Rent complete","Partial"))</f>
        <v/>
      </c>
      <c r="J124" s="28"/>
    </row>
    <row r="125" customFormat="false" ht="15" hidden="false" customHeight="false" outlineLevel="0" collapsed="false">
      <c r="A125" s="27"/>
      <c r="B125" s="28"/>
      <c r="C125" s="29" t="str">
        <f aca="false">IF(B125="","",IFERROR(INDEX(Tenancies!$B$5:$B$50,MATCH(B125,Tenancies!$A$5:$A$50,0)),"Check ID"))</f>
        <v/>
      </c>
      <c r="D125" s="29" t="str">
        <f aca="false">IF(B125="","",IFERROR(INDEX(Tenancies!$D$5:$D$50,MATCH(B125,Tenancies!$A$5:$A$50,0)),"Check ID"))</f>
        <v/>
      </c>
      <c r="E125" s="30"/>
      <c r="F125" s="31"/>
      <c r="G125" s="31"/>
      <c r="H125" s="28"/>
      <c r="I125" s="32" t="str">
        <f aca="false">IF(OR(B125="",E125=""),"",IF(SUMIFS($F$5:$F$304,$B$5:$B$304,B125,$E$5:$E$304,E125)&gt;=IFERROR(INDEX(Tenancies!$G$5:$G$50,MATCH(B125,Tenancies!$A$5:$A$50,0)),0),"Rent complete","Partial"))</f>
        <v/>
      </c>
      <c r="J125" s="28"/>
    </row>
    <row r="126" customFormat="false" ht="15" hidden="false" customHeight="false" outlineLevel="0" collapsed="false">
      <c r="A126" s="27"/>
      <c r="B126" s="28"/>
      <c r="C126" s="29" t="str">
        <f aca="false">IF(B126="","",IFERROR(INDEX(Tenancies!$B$5:$B$50,MATCH(B126,Tenancies!$A$5:$A$50,0)),"Check ID"))</f>
        <v/>
      </c>
      <c r="D126" s="29" t="str">
        <f aca="false">IF(B126="","",IFERROR(INDEX(Tenancies!$D$5:$D$50,MATCH(B126,Tenancies!$A$5:$A$50,0)),"Check ID"))</f>
        <v/>
      </c>
      <c r="E126" s="30"/>
      <c r="F126" s="31"/>
      <c r="G126" s="31"/>
      <c r="H126" s="28"/>
      <c r="I126" s="32" t="str">
        <f aca="false">IF(OR(B126="",E126=""),"",IF(SUMIFS($F$5:$F$304,$B$5:$B$304,B126,$E$5:$E$304,E126)&gt;=IFERROR(INDEX(Tenancies!$G$5:$G$50,MATCH(B126,Tenancies!$A$5:$A$50,0)),0),"Rent complete","Partial"))</f>
        <v/>
      </c>
      <c r="J126" s="28"/>
    </row>
    <row r="127" customFormat="false" ht="15" hidden="false" customHeight="false" outlineLevel="0" collapsed="false">
      <c r="A127" s="27"/>
      <c r="B127" s="28"/>
      <c r="C127" s="29" t="str">
        <f aca="false">IF(B127="","",IFERROR(INDEX(Tenancies!$B$5:$B$50,MATCH(B127,Tenancies!$A$5:$A$50,0)),"Check ID"))</f>
        <v/>
      </c>
      <c r="D127" s="29" t="str">
        <f aca="false">IF(B127="","",IFERROR(INDEX(Tenancies!$D$5:$D$50,MATCH(B127,Tenancies!$A$5:$A$50,0)),"Check ID"))</f>
        <v/>
      </c>
      <c r="E127" s="30"/>
      <c r="F127" s="31"/>
      <c r="G127" s="31"/>
      <c r="H127" s="28"/>
      <c r="I127" s="32" t="str">
        <f aca="false">IF(OR(B127="",E127=""),"",IF(SUMIFS($F$5:$F$304,$B$5:$B$304,B127,$E$5:$E$304,E127)&gt;=IFERROR(INDEX(Tenancies!$G$5:$G$50,MATCH(B127,Tenancies!$A$5:$A$50,0)),0),"Rent complete","Partial"))</f>
        <v/>
      </c>
      <c r="J127" s="28"/>
    </row>
    <row r="128" customFormat="false" ht="15" hidden="false" customHeight="false" outlineLevel="0" collapsed="false">
      <c r="A128" s="27"/>
      <c r="B128" s="28"/>
      <c r="C128" s="29" t="str">
        <f aca="false">IF(B128="","",IFERROR(INDEX(Tenancies!$B$5:$B$50,MATCH(B128,Tenancies!$A$5:$A$50,0)),"Check ID"))</f>
        <v/>
      </c>
      <c r="D128" s="29" t="str">
        <f aca="false">IF(B128="","",IFERROR(INDEX(Tenancies!$D$5:$D$50,MATCH(B128,Tenancies!$A$5:$A$50,0)),"Check ID"))</f>
        <v/>
      </c>
      <c r="E128" s="30"/>
      <c r="F128" s="31"/>
      <c r="G128" s="31"/>
      <c r="H128" s="28"/>
      <c r="I128" s="32" t="str">
        <f aca="false">IF(OR(B128="",E128=""),"",IF(SUMIFS($F$5:$F$304,$B$5:$B$304,B128,$E$5:$E$304,E128)&gt;=IFERROR(INDEX(Tenancies!$G$5:$G$50,MATCH(B128,Tenancies!$A$5:$A$50,0)),0),"Rent complete","Partial"))</f>
        <v/>
      </c>
      <c r="J128" s="28"/>
    </row>
    <row r="129" customFormat="false" ht="15" hidden="false" customHeight="false" outlineLevel="0" collapsed="false">
      <c r="A129" s="27"/>
      <c r="B129" s="28"/>
      <c r="C129" s="29" t="str">
        <f aca="false">IF(B129="","",IFERROR(INDEX(Tenancies!$B$5:$B$50,MATCH(B129,Tenancies!$A$5:$A$50,0)),"Check ID"))</f>
        <v/>
      </c>
      <c r="D129" s="29" t="str">
        <f aca="false">IF(B129="","",IFERROR(INDEX(Tenancies!$D$5:$D$50,MATCH(B129,Tenancies!$A$5:$A$50,0)),"Check ID"))</f>
        <v/>
      </c>
      <c r="E129" s="30"/>
      <c r="F129" s="31"/>
      <c r="G129" s="31"/>
      <c r="H129" s="28"/>
      <c r="I129" s="32" t="str">
        <f aca="false">IF(OR(B129="",E129=""),"",IF(SUMIFS($F$5:$F$304,$B$5:$B$304,B129,$E$5:$E$304,E129)&gt;=IFERROR(INDEX(Tenancies!$G$5:$G$50,MATCH(B129,Tenancies!$A$5:$A$50,0)),0),"Rent complete","Partial"))</f>
        <v/>
      </c>
      <c r="J129" s="28"/>
    </row>
    <row r="130" customFormat="false" ht="15" hidden="false" customHeight="false" outlineLevel="0" collapsed="false">
      <c r="A130" s="27"/>
      <c r="B130" s="28"/>
      <c r="C130" s="29" t="str">
        <f aca="false">IF(B130="","",IFERROR(INDEX(Tenancies!$B$5:$B$50,MATCH(B130,Tenancies!$A$5:$A$50,0)),"Check ID"))</f>
        <v/>
      </c>
      <c r="D130" s="29" t="str">
        <f aca="false">IF(B130="","",IFERROR(INDEX(Tenancies!$D$5:$D$50,MATCH(B130,Tenancies!$A$5:$A$50,0)),"Check ID"))</f>
        <v/>
      </c>
      <c r="E130" s="30"/>
      <c r="F130" s="31"/>
      <c r="G130" s="31"/>
      <c r="H130" s="28"/>
      <c r="I130" s="32" t="str">
        <f aca="false">IF(OR(B130="",E130=""),"",IF(SUMIFS($F$5:$F$304,$B$5:$B$304,B130,$E$5:$E$304,E130)&gt;=IFERROR(INDEX(Tenancies!$G$5:$G$50,MATCH(B130,Tenancies!$A$5:$A$50,0)),0),"Rent complete","Partial"))</f>
        <v/>
      </c>
      <c r="J130" s="28"/>
    </row>
    <row r="131" customFormat="false" ht="15" hidden="false" customHeight="false" outlineLevel="0" collapsed="false">
      <c r="A131" s="27"/>
      <c r="B131" s="28"/>
      <c r="C131" s="29" t="str">
        <f aca="false">IF(B131="","",IFERROR(INDEX(Tenancies!$B$5:$B$50,MATCH(B131,Tenancies!$A$5:$A$50,0)),"Check ID"))</f>
        <v/>
      </c>
      <c r="D131" s="29" t="str">
        <f aca="false">IF(B131="","",IFERROR(INDEX(Tenancies!$D$5:$D$50,MATCH(B131,Tenancies!$A$5:$A$50,0)),"Check ID"))</f>
        <v/>
      </c>
      <c r="E131" s="30"/>
      <c r="F131" s="31"/>
      <c r="G131" s="31"/>
      <c r="H131" s="28"/>
      <c r="I131" s="32" t="str">
        <f aca="false">IF(OR(B131="",E131=""),"",IF(SUMIFS($F$5:$F$304,$B$5:$B$304,B131,$E$5:$E$304,E131)&gt;=IFERROR(INDEX(Tenancies!$G$5:$G$50,MATCH(B131,Tenancies!$A$5:$A$50,0)),0),"Rent complete","Partial"))</f>
        <v/>
      </c>
      <c r="J131" s="28"/>
    </row>
    <row r="132" customFormat="false" ht="15" hidden="false" customHeight="false" outlineLevel="0" collapsed="false">
      <c r="A132" s="27"/>
      <c r="B132" s="28"/>
      <c r="C132" s="29" t="str">
        <f aca="false">IF(B132="","",IFERROR(INDEX(Tenancies!$B$5:$B$50,MATCH(B132,Tenancies!$A$5:$A$50,0)),"Check ID"))</f>
        <v/>
      </c>
      <c r="D132" s="29" t="str">
        <f aca="false">IF(B132="","",IFERROR(INDEX(Tenancies!$D$5:$D$50,MATCH(B132,Tenancies!$A$5:$A$50,0)),"Check ID"))</f>
        <v/>
      </c>
      <c r="E132" s="30"/>
      <c r="F132" s="31"/>
      <c r="G132" s="31"/>
      <c r="H132" s="28"/>
      <c r="I132" s="32" t="str">
        <f aca="false">IF(OR(B132="",E132=""),"",IF(SUMIFS($F$5:$F$304,$B$5:$B$304,B132,$E$5:$E$304,E132)&gt;=IFERROR(INDEX(Tenancies!$G$5:$G$50,MATCH(B132,Tenancies!$A$5:$A$50,0)),0),"Rent complete","Partial"))</f>
        <v/>
      </c>
      <c r="J132" s="28"/>
    </row>
    <row r="133" customFormat="false" ht="15" hidden="false" customHeight="false" outlineLevel="0" collapsed="false">
      <c r="A133" s="27"/>
      <c r="B133" s="28"/>
      <c r="C133" s="29" t="str">
        <f aca="false">IF(B133="","",IFERROR(INDEX(Tenancies!$B$5:$B$50,MATCH(B133,Tenancies!$A$5:$A$50,0)),"Check ID"))</f>
        <v/>
      </c>
      <c r="D133" s="29" t="str">
        <f aca="false">IF(B133="","",IFERROR(INDEX(Tenancies!$D$5:$D$50,MATCH(B133,Tenancies!$A$5:$A$50,0)),"Check ID"))</f>
        <v/>
      </c>
      <c r="E133" s="30"/>
      <c r="F133" s="31"/>
      <c r="G133" s="31"/>
      <c r="H133" s="28"/>
      <c r="I133" s="32" t="str">
        <f aca="false">IF(OR(B133="",E133=""),"",IF(SUMIFS($F$5:$F$304,$B$5:$B$304,B133,$E$5:$E$304,E133)&gt;=IFERROR(INDEX(Tenancies!$G$5:$G$50,MATCH(B133,Tenancies!$A$5:$A$50,0)),0),"Rent complete","Partial"))</f>
        <v/>
      </c>
      <c r="J133" s="28"/>
    </row>
    <row r="134" customFormat="false" ht="15" hidden="false" customHeight="false" outlineLevel="0" collapsed="false">
      <c r="A134" s="27"/>
      <c r="B134" s="28"/>
      <c r="C134" s="29" t="str">
        <f aca="false">IF(B134="","",IFERROR(INDEX(Tenancies!$B$5:$B$50,MATCH(B134,Tenancies!$A$5:$A$50,0)),"Check ID"))</f>
        <v/>
      </c>
      <c r="D134" s="29" t="str">
        <f aca="false">IF(B134="","",IFERROR(INDEX(Tenancies!$D$5:$D$50,MATCH(B134,Tenancies!$A$5:$A$50,0)),"Check ID"))</f>
        <v/>
      </c>
      <c r="E134" s="30"/>
      <c r="F134" s="31"/>
      <c r="G134" s="31"/>
      <c r="H134" s="28"/>
      <c r="I134" s="32" t="str">
        <f aca="false">IF(OR(B134="",E134=""),"",IF(SUMIFS($F$5:$F$304,$B$5:$B$304,B134,$E$5:$E$304,E134)&gt;=IFERROR(INDEX(Tenancies!$G$5:$G$50,MATCH(B134,Tenancies!$A$5:$A$50,0)),0),"Rent complete","Partial"))</f>
        <v/>
      </c>
      <c r="J134" s="28"/>
    </row>
    <row r="135" customFormat="false" ht="15" hidden="false" customHeight="false" outlineLevel="0" collapsed="false">
      <c r="A135" s="27"/>
      <c r="B135" s="28"/>
      <c r="C135" s="29" t="str">
        <f aca="false">IF(B135="","",IFERROR(INDEX(Tenancies!$B$5:$B$50,MATCH(B135,Tenancies!$A$5:$A$50,0)),"Check ID"))</f>
        <v/>
      </c>
      <c r="D135" s="29" t="str">
        <f aca="false">IF(B135="","",IFERROR(INDEX(Tenancies!$D$5:$D$50,MATCH(B135,Tenancies!$A$5:$A$50,0)),"Check ID"))</f>
        <v/>
      </c>
      <c r="E135" s="30"/>
      <c r="F135" s="31"/>
      <c r="G135" s="31"/>
      <c r="H135" s="28"/>
      <c r="I135" s="32" t="str">
        <f aca="false">IF(OR(B135="",E135=""),"",IF(SUMIFS($F$5:$F$304,$B$5:$B$304,B135,$E$5:$E$304,E135)&gt;=IFERROR(INDEX(Tenancies!$G$5:$G$50,MATCH(B135,Tenancies!$A$5:$A$50,0)),0),"Rent complete","Partial"))</f>
        <v/>
      </c>
      <c r="J135" s="28"/>
    </row>
    <row r="136" customFormat="false" ht="15" hidden="false" customHeight="false" outlineLevel="0" collapsed="false">
      <c r="A136" s="27"/>
      <c r="B136" s="28"/>
      <c r="C136" s="29" t="str">
        <f aca="false">IF(B136="","",IFERROR(INDEX(Tenancies!$B$5:$B$50,MATCH(B136,Tenancies!$A$5:$A$50,0)),"Check ID"))</f>
        <v/>
      </c>
      <c r="D136" s="29" t="str">
        <f aca="false">IF(B136="","",IFERROR(INDEX(Tenancies!$D$5:$D$50,MATCH(B136,Tenancies!$A$5:$A$50,0)),"Check ID"))</f>
        <v/>
      </c>
      <c r="E136" s="30"/>
      <c r="F136" s="31"/>
      <c r="G136" s="31"/>
      <c r="H136" s="28"/>
      <c r="I136" s="32" t="str">
        <f aca="false">IF(OR(B136="",E136=""),"",IF(SUMIFS($F$5:$F$304,$B$5:$B$304,B136,$E$5:$E$304,E136)&gt;=IFERROR(INDEX(Tenancies!$G$5:$G$50,MATCH(B136,Tenancies!$A$5:$A$50,0)),0),"Rent complete","Partial"))</f>
        <v/>
      </c>
      <c r="J136" s="28"/>
    </row>
    <row r="137" customFormat="false" ht="15" hidden="false" customHeight="false" outlineLevel="0" collapsed="false">
      <c r="A137" s="27"/>
      <c r="B137" s="28"/>
      <c r="C137" s="29" t="str">
        <f aca="false">IF(B137="","",IFERROR(INDEX(Tenancies!$B$5:$B$50,MATCH(B137,Tenancies!$A$5:$A$50,0)),"Check ID"))</f>
        <v/>
      </c>
      <c r="D137" s="29" t="str">
        <f aca="false">IF(B137="","",IFERROR(INDEX(Tenancies!$D$5:$D$50,MATCH(B137,Tenancies!$A$5:$A$50,0)),"Check ID"))</f>
        <v/>
      </c>
      <c r="E137" s="30"/>
      <c r="F137" s="31"/>
      <c r="G137" s="31"/>
      <c r="H137" s="28"/>
      <c r="I137" s="32" t="str">
        <f aca="false">IF(OR(B137="",E137=""),"",IF(SUMIFS($F$5:$F$304,$B$5:$B$304,B137,$E$5:$E$304,E137)&gt;=IFERROR(INDEX(Tenancies!$G$5:$G$50,MATCH(B137,Tenancies!$A$5:$A$50,0)),0),"Rent complete","Partial"))</f>
        <v/>
      </c>
      <c r="J137" s="28"/>
    </row>
    <row r="138" customFormat="false" ht="15" hidden="false" customHeight="false" outlineLevel="0" collapsed="false">
      <c r="A138" s="27"/>
      <c r="B138" s="28"/>
      <c r="C138" s="29" t="str">
        <f aca="false">IF(B138="","",IFERROR(INDEX(Tenancies!$B$5:$B$50,MATCH(B138,Tenancies!$A$5:$A$50,0)),"Check ID"))</f>
        <v/>
      </c>
      <c r="D138" s="29" t="str">
        <f aca="false">IF(B138="","",IFERROR(INDEX(Tenancies!$D$5:$D$50,MATCH(B138,Tenancies!$A$5:$A$50,0)),"Check ID"))</f>
        <v/>
      </c>
      <c r="E138" s="30"/>
      <c r="F138" s="31"/>
      <c r="G138" s="31"/>
      <c r="H138" s="28"/>
      <c r="I138" s="32" t="str">
        <f aca="false">IF(OR(B138="",E138=""),"",IF(SUMIFS($F$5:$F$304,$B$5:$B$304,B138,$E$5:$E$304,E138)&gt;=IFERROR(INDEX(Tenancies!$G$5:$G$50,MATCH(B138,Tenancies!$A$5:$A$50,0)),0),"Rent complete","Partial"))</f>
        <v/>
      </c>
      <c r="J138" s="28"/>
    </row>
    <row r="139" customFormat="false" ht="15" hidden="false" customHeight="false" outlineLevel="0" collapsed="false">
      <c r="A139" s="27"/>
      <c r="B139" s="28"/>
      <c r="C139" s="29" t="str">
        <f aca="false">IF(B139="","",IFERROR(INDEX(Tenancies!$B$5:$B$50,MATCH(B139,Tenancies!$A$5:$A$50,0)),"Check ID"))</f>
        <v/>
      </c>
      <c r="D139" s="29" t="str">
        <f aca="false">IF(B139="","",IFERROR(INDEX(Tenancies!$D$5:$D$50,MATCH(B139,Tenancies!$A$5:$A$50,0)),"Check ID"))</f>
        <v/>
      </c>
      <c r="E139" s="30"/>
      <c r="F139" s="31"/>
      <c r="G139" s="31"/>
      <c r="H139" s="28"/>
      <c r="I139" s="32" t="str">
        <f aca="false">IF(OR(B139="",E139=""),"",IF(SUMIFS($F$5:$F$304,$B$5:$B$304,B139,$E$5:$E$304,E139)&gt;=IFERROR(INDEX(Tenancies!$G$5:$G$50,MATCH(B139,Tenancies!$A$5:$A$50,0)),0),"Rent complete","Partial"))</f>
        <v/>
      </c>
      <c r="J139" s="28"/>
    </row>
    <row r="140" customFormat="false" ht="15" hidden="false" customHeight="false" outlineLevel="0" collapsed="false">
      <c r="A140" s="27"/>
      <c r="B140" s="28"/>
      <c r="C140" s="29" t="str">
        <f aca="false">IF(B140="","",IFERROR(INDEX(Tenancies!$B$5:$B$50,MATCH(B140,Tenancies!$A$5:$A$50,0)),"Check ID"))</f>
        <v/>
      </c>
      <c r="D140" s="29" t="str">
        <f aca="false">IF(B140="","",IFERROR(INDEX(Tenancies!$D$5:$D$50,MATCH(B140,Tenancies!$A$5:$A$50,0)),"Check ID"))</f>
        <v/>
      </c>
      <c r="E140" s="30"/>
      <c r="F140" s="31"/>
      <c r="G140" s="31"/>
      <c r="H140" s="28"/>
      <c r="I140" s="32" t="str">
        <f aca="false">IF(OR(B140="",E140=""),"",IF(SUMIFS($F$5:$F$304,$B$5:$B$304,B140,$E$5:$E$304,E140)&gt;=IFERROR(INDEX(Tenancies!$G$5:$G$50,MATCH(B140,Tenancies!$A$5:$A$50,0)),0),"Rent complete","Partial"))</f>
        <v/>
      </c>
      <c r="J140" s="28"/>
    </row>
    <row r="141" customFormat="false" ht="15" hidden="false" customHeight="false" outlineLevel="0" collapsed="false">
      <c r="A141" s="27"/>
      <c r="B141" s="28"/>
      <c r="C141" s="29" t="str">
        <f aca="false">IF(B141="","",IFERROR(INDEX(Tenancies!$B$5:$B$50,MATCH(B141,Tenancies!$A$5:$A$50,0)),"Check ID"))</f>
        <v/>
      </c>
      <c r="D141" s="29" t="str">
        <f aca="false">IF(B141="","",IFERROR(INDEX(Tenancies!$D$5:$D$50,MATCH(B141,Tenancies!$A$5:$A$50,0)),"Check ID"))</f>
        <v/>
      </c>
      <c r="E141" s="30"/>
      <c r="F141" s="31"/>
      <c r="G141" s="31"/>
      <c r="H141" s="28"/>
      <c r="I141" s="32" t="str">
        <f aca="false">IF(OR(B141="",E141=""),"",IF(SUMIFS($F$5:$F$304,$B$5:$B$304,B141,$E$5:$E$304,E141)&gt;=IFERROR(INDEX(Tenancies!$G$5:$G$50,MATCH(B141,Tenancies!$A$5:$A$50,0)),0),"Rent complete","Partial"))</f>
        <v/>
      </c>
      <c r="J141" s="28"/>
    </row>
    <row r="142" customFormat="false" ht="15" hidden="false" customHeight="false" outlineLevel="0" collapsed="false">
      <c r="A142" s="27"/>
      <c r="B142" s="28"/>
      <c r="C142" s="29" t="str">
        <f aca="false">IF(B142="","",IFERROR(INDEX(Tenancies!$B$5:$B$50,MATCH(B142,Tenancies!$A$5:$A$50,0)),"Check ID"))</f>
        <v/>
      </c>
      <c r="D142" s="29" t="str">
        <f aca="false">IF(B142="","",IFERROR(INDEX(Tenancies!$D$5:$D$50,MATCH(B142,Tenancies!$A$5:$A$50,0)),"Check ID"))</f>
        <v/>
      </c>
      <c r="E142" s="30"/>
      <c r="F142" s="31"/>
      <c r="G142" s="31"/>
      <c r="H142" s="28"/>
      <c r="I142" s="32" t="str">
        <f aca="false">IF(OR(B142="",E142=""),"",IF(SUMIFS($F$5:$F$304,$B$5:$B$304,B142,$E$5:$E$304,E142)&gt;=IFERROR(INDEX(Tenancies!$G$5:$G$50,MATCH(B142,Tenancies!$A$5:$A$50,0)),0),"Rent complete","Partial"))</f>
        <v/>
      </c>
      <c r="J142" s="28"/>
    </row>
    <row r="143" customFormat="false" ht="15" hidden="false" customHeight="false" outlineLevel="0" collapsed="false">
      <c r="A143" s="27"/>
      <c r="B143" s="28"/>
      <c r="C143" s="29" t="str">
        <f aca="false">IF(B143="","",IFERROR(INDEX(Tenancies!$B$5:$B$50,MATCH(B143,Tenancies!$A$5:$A$50,0)),"Check ID"))</f>
        <v/>
      </c>
      <c r="D143" s="29" t="str">
        <f aca="false">IF(B143="","",IFERROR(INDEX(Tenancies!$D$5:$D$50,MATCH(B143,Tenancies!$A$5:$A$50,0)),"Check ID"))</f>
        <v/>
      </c>
      <c r="E143" s="30"/>
      <c r="F143" s="31"/>
      <c r="G143" s="31"/>
      <c r="H143" s="28"/>
      <c r="I143" s="32" t="str">
        <f aca="false">IF(OR(B143="",E143=""),"",IF(SUMIFS($F$5:$F$304,$B$5:$B$304,B143,$E$5:$E$304,E143)&gt;=IFERROR(INDEX(Tenancies!$G$5:$G$50,MATCH(B143,Tenancies!$A$5:$A$50,0)),0),"Rent complete","Partial"))</f>
        <v/>
      </c>
      <c r="J143" s="28"/>
    </row>
    <row r="144" customFormat="false" ht="15" hidden="false" customHeight="false" outlineLevel="0" collapsed="false">
      <c r="A144" s="27"/>
      <c r="B144" s="28"/>
      <c r="C144" s="29" t="str">
        <f aca="false">IF(B144="","",IFERROR(INDEX(Tenancies!$B$5:$B$50,MATCH(B144,Tenancies!$A$5:$A$50,0)),"Check ID"))</f>
        <v/>
      </c>
      <c r="D144" s="29" t="str">
        <f aca="false">IF(B144="","",IFERROR(INDEX(Tenancies!$D$5:$D$50,MATCH(B144,Tenancies!$A$5:$A$50,0)),"Check ID"))</f>
        <v/>
      </c>
      <c r="E144" s="30"/>
      <c r="F144" s="31"/>
      <c r="G144" s="31"/>
      <c r="H144" s="28"/>
      <c r="I144" s="32" t="str">
        <f aca="false">IF(OR(B144="",E144=""),"",IF(SUMIFS($F$5:$F$304,$B$5:$B$304,B144,$E$5:$E$304,E144)&gt;=IFERROR(INDEX(Tenancies!$G$5:$G$50,MATCH(B144,Tenancies!$A$5:$A$50,0)),0),"Rent complete","Partial"))</f>
        <v/>
      </c>
      <c r="J144" s="28"/>
    </row>
    <row r="145" customFormat="false" ht="15" hidden="false" customHeight="false" outlineLevel="0" collapsed="false">
      <c r="A145" s="27"/>
      <c r="B145" s="28"/>
      <c r="C145" s="29" t="str">
        <f aca="false">IF(B145="","",IFERROR(INDEX(Tenancies!$B$5:$B$50,MATCH(B145,Tenancies!$A$5:$A$50,0)),"Check ID"))</f>
        <v/>
      </c>
      <c r="D145" s="29" t="str">
        <f aca="false">IF(B145="","",IFERROR(INDEX(Tenancies!$D$5:$D$50,MATCH(B145,Tenancies!$A$5:$A$50,0)),"Check ID"))</f>
        <v/>
      </c>
      <c r="E145" s="30"/>
      <c r="F145" s="31"/>
      <c r="G145" s="31"/>
      <c r="H145" s="28"/>
      <c r="I145" s="32" t="str">
        <f aca="false">IF(OR(B145="",E145=""),"",IF(SUMIFS($F$5:$F$304,$B$5:$B$304,B145,$E$5:$E$304,E145)&gt;=IFERROR(INDEX(Tenancies!$G$5:$G$50,MATCH(B145,Tenancies!$A$5:$A$50,0)),0),"Rent complete","Partial"))</f>
        <v/>
      </c>
      <c r="J145" s="28"/>
    </row>
    <row r="146" customFormat="false" ht="15" hidden="false" customHeight="false" outlineLevel="0" collapsed="false">
      <c r="A146" s="27"/>
      <c r="B146" s="28"/>
      <c r="C146" s="29" t="str">
        <f aca="false">IF(B146="","",IFERROR(INDEX(Tenancies!$B$5:$B$50,MATCH(B146,Tenancies!$A$5:$A$50,0)),"Check ID"))</f>
        <v/>
      </c>
      <c r="D146" s="29" t="str">
        <f aca="false">IF(B146="","",IFERROR(INDEX(Tenancies!$D$5:$D$50,MATCH(B146,Tenancies!$A$5:$A$50,0)),"Check ID"))</f>
        <v/>
      </c>
      <c r="E146" s="30"/>
      <c r="F146" s="31"/>
      <c r="G146" s="31"/>
      <c r="H146" s="28"/>
      <c r="I146" s="32" t="str">
        <f aca="false">IF(OR(B146="",E146=""),"",IF(SUMIFS($F$5:$F$304,$B$5:$B$304,B146,$E$5:$E$304,E146)&gt;=IFERROR(INDEX(Tenancies!$G$5:$G$50,MATCH(B146,Tenancies!$A$5:$A$50,0)),0),"Rent complete","Partial"))</f>
        <v/>
      </c>
      <c r="J146" s="28"/>
    </row>
    <row r="147" customFormat="false" ht="15" hidden="false" customHeight="false" outlineLevel="0" collapsed="false">
      <c r="A147" s="27"/>
      <c r="B147" s="28"/>
      <c r="C147" s="29" t="str">
        <f aca="false">IF(B147="","",IFERROR(INDEX(Tenancies!$B$5:$B$50,MATCH(B147,Tenancies!$A$5:$A$50,0)),"Check ID"))</f>
        <v/>
      </c>
      <c r="D147" s="29" t="str">
        <f aca="false">IF(B147="","",IFERROR(INDEX(Tenancies!$D$5:$D$50,MATCH(B147,Tenancies!$A$5:$A$50,0)),"Check ID"))</f>
        <v/>
      </c>
      <c r="E147" s="30"/>
      <c r="F147" s="31"/>
      <c r="G147" s="31"/>
      <c r="H147" s="28"/>
      <c r="I147" s="32" t="str">
        <f aca="false">IF(OR(B147="",E147=""),"",IF(SUMIFS($F$5:$F$304,$B$5:$B$304,B147,$E$5:$E$304,E147)&gt;=IFERROR(INDEX(Tenancies!$G$5:$G$50,MATCH(B147,Tenancies!$A$5:$A$50,0)),0),"Rent complete","Partial"))</f>
        <v/>
      </c>
      <c r="J147" s="28"/>
    </row>
    <row r="148" customFormat="false" ht="15" hidden="false" customHeight="false" outlineLevel="0" collapsed="false">
      <c r="A148" s="27"/>
      <c r="B148" s="28"/>
      <c r="C148" s="29" t="str">
        <f aca="false">IF(B148="","",IFERROR(INDEX(Tenancies!$B$5:$B$50,MATCH(B148,Tenancies!$A$5:$A$50,0)),"Check ID"))</f>
        <v/>
      </c>
      <c r="D148" s="29" t="str">
        <f aca="false">IF(B148="","",IFERROR(INDEX(Tenancies!$D$5:$D$50,MATCH(B148,Tenancies!$A$5:$A$50,0)),"Check ID"))</f>
        <v/>
      </c>
      <c r="E148" s="30"/>
      <c r="F148" s="31"/>
      <c r="G148" s="31"/>
      <c r="H148" s="28"/>
      <c r="I148" s="32" t="str">
        <f aca="false">IF(OR(B148="",E148=""),"",IF(SUMIFS($F$5:$F$304,$B$5:$B$304,B148,$E$5:$E$304,E148)&gt;=IFERROR(INDEX(Tenancies!$G$5:$G$50,MATCH(B148,Tenancies!$A$5:$A$50,0)),0),"Rent complete","Partial"))</f>
        <v/>
      </c>
      <c r="J148" s="28"/>
    </row>
    <row r="149" customFormat="false" ht="15" hidden="false" customHeight="false" outlineLevel="0" collapsed="false">
      <c r="A149" s="27"/>
      <c r="B149" s="28"/>
      <c r="C149" s="29" t="str">
        <f aca="false">IF(B149="","",IFERROR(INDEX(Tenancies!$B$5:$B$50,MATCH(B149,Tenancies!$A$5:$A$50,0)),"Check ID"))</f>
        <v/>
      </c>
      <c r="D149" s="29" t="str">
        <f aca="false">IF(B149="","",IFERROR(INDEX(Tenancies!$D$5:$D$50,MATCH(B149,Tenancies!$A$5:$A$50,0)),"Check ID"))</f>
        <v/>
      </c>
      <c r="E149" s="30"/>
      <c r="F149" s="31"/>
      <c r="G149" s="31"/>
      <c r="H149" s="28"/>
      <c r="I149" s="32" t="str">
        <f aca="false">IF(OR(B149="",E149=""),"",IF(SUMIFS($F$5:$F$304,$B$5:$B$304,B149,$E$5:$E$304,E149)&gt;=IFERROR(INDEX(Tenancies!$G$5:$G$50,MATCH(B149,Tenancies!$A$5:$A$50,0)),0),"Rent complete","Partial"))</f>
        <v/>
      </c>
      <c r="J149" s="28"/>
    </row>
    <row r="150" customFormat="false" ht="15" hidden="false" customHeight="false" outlineLevel="0" collapsed="false">
      <c r="A150" s="27"/>
      <c r="B150" s="28"/>
      <c r="C150" s="29" t="str">
        <f aca="false">IF(B150="","",IFERROR(INDEX(Tenancies!$B$5:$B$50,MATCH(B150,Tenancies!$A$5:$A$50,0)),"Check ID"))</f>
        <v/>
      </c>
      <c r="D150" s="29" t="str">
        <f aca="false">IF(B150="","",IFERROR(INDEX(Tenancies!$D$5:$D$50,MATCH(B150,Tenancies!$A$5:$A$50,0)),"Check ID"))</f>
        <v/>
      </c>
      <c r="E150" s="30"/>
      <c r="F150" s="31"/>
      <c r="G150" s="31"/>
      <c r="H150" s="28"/>
      <c r="I150" s="32" t="str">
        <f aca="false">IF(OR(B150="",E150=""),"",IF(SUMIFS($F$5:$F$304,$B$5:$B$304,B150,$E$5:$E$304,E150)&gt;=IFERROR(INDEX(Tenancies!$G$5:$G$50,MATCH(B150,Tenancies!$A$5:$A$50,0)),0),"Rent complete","Partial"))</f>
        <v/>
      </c>
      <c r="J150" s="28"/>
    </row>
    <row r="151" customFormat="false" ht="15" hidden="false" customHeight="false" outlineLevel="0" collapsed="false">
      <c r="A151" s="27"/>
      <c r="B151" s="28"/>
      <c r="C151" s="29" t="str">
        <f aca="false">IF(B151="","",IFERROR(INDEX(Tenancies!$B$5:$B$50,MATCH(B151,Tenancies!$A$5:$A$50,0)),"Check ID"))</f>
        <v/>
      </c>
      <c r="D151" s="29" t="str">
        <f aca="false">IF(B151="","",IFERROR(INDEX(Tenancies!$D$5:$D$50,MATCH(B151,Tenancies!$A$5:$A$50,0)),"Check ID"))</f>
        <v/>
      </c>
      <c r="E151" s="30"/>
      <c r="F151" s="31"/>
      <c r="G151" s="31"/>
      <c r="H151" s="28"/>
      <c r="I151" s="32" t="str">
        <f aca="false">IF(OR(B151="",E151=""),"",IF(SUMIFS($F$5:$F$304,$B$5:$B$304,B151,$E$5:$E$304,E151)&gt;=IFERROR(INDEX(Tenancies!$G$5:$G$50,MATCH(B151,Tenancies!$A$5:$A$50,0)),0),"Rent complete","Partial"))</f>
        <v/>
      </c>
      <c r="J151" s="28"/>
    </row>
    <row r="152" customFormat="false" ht="15" hidden="false" customHeight="false" outlineLevel="0" collapsed="false">
      <c r="A152" s="27"/>
      <c r="B152" s="28"/>
      <c r="C152" s="29" t="str">
        <f aca="false">IF(B152="","",IFERROR(INDEX(Tenancies!$B$5:$B$50,MATCH(B152,Tenancies!$A$5:$A$50,0)),"Check ID"))</f>
        <v/>
      </c>
      <c r="D152" s="29" t="str">
        <f aca="false">IF(B152="","",IFERROR(INDEX(Tenancies!$D$5:$D$50,MATCH(B152,Tenancies!$A$5:$A$50,0)),"Check ID"))</f>
        <v/>
      </c>
      <c r="E152" s="30"/>
      <c r="F152" s="31"/>
      <c r="G152" s="31"/>
      <c r="H152" s="28"/>
      <c r="I152" s="32" t="str">
        <f aca="false">IF(OR(B152="",E152=""),"",IF(SUMIFS($F$5:$F$304,$B$5:$B$304,B152,$E$5:$E$304,E152)&gt;=IFERROR(INDEX(Tenancies!$G$5:$G$50,MATCH(B152,Tenancies!$A$5:$A$50,0)),0),"Rent complete","Partial"))</f>
        <v/>
      </c>
      <c r="J152" s="28"/>
    </row>
    <row r="153" customFormat="false" ht="15" hidden="false" customHeight="false" outlineLevel="0" collapsed="false">
      <c r="A153" s="27"/>
      <c r="B153" s="28"/>
      <c r="C153" s="29" t="str">
        <f aca="false">IF(B153="","",IFERROR(INDEX(Tenancies!$B$5:$B$50,MATCH(B153,Tenancies!$A$5:$A$50,0)),"Check ID"))</f>
        <v/>
      </c>
      <c r="D153" s="29" t="str">
        <f aca="false">IF(B153="","",IFERROR(INDEX(Tenancies!$D$5:$D$50,MATCH(B153,Tenancies!$A$5:$A$50,0)),"Check ID"))</f>
        <v/>
      </c>
      <c r="E153" s="30"/>
      <c r="F153" s="31"/>
      <c r="G153" s="31"/>
      <c r="H153" s="28"/>
      <c r="I153" s="32" t="str">
        <f aca="false">IF(OR(B153="",E153=""),"",IF(SUMIFS($F$5:$F$304,$B$5:$B$304,B153,$E$5:$E$304,E153)&gt;=IFERROR(INDEX(Tenancies!$G$5:$G$50,MATCH(B153,Tenancies!$A$5:$A$50,0)),0),"Rent complete","Partial"))</f>
        <v/>
      </c>
      <c r="J153" s="28"/>
    </row>
    <row r="154" customFormat="false" ht="15" hidden="false" customHeight="false" outlineLevel="0" collapsed="false">
      <c r="A154" s="27"/>
      <c r="B154" s="28"/>
      <c r="C154" s="29" t="str">
        <f aca="false">IF(B154="","",IFERROR(INDEX(Tenancies!$B$5:$B$50,MATCH(B154,Tenancies!$A$5:$A$50,0)),"Check ID"))</f>
        <v/>
      </c>
      <c r="D154" s="29" t="str">
        <f aca="false">IF(B154="","",IFERROR(INDEX(Tenancies!$D$5:$D$50,MATCH(B154,Tenancies!$A$5:$A$50,0)),"Check ID"))</f>
        <v/>
      </c>
      <c r="E154" s="30"/>
      <c r="F154" s="31"/>
      <c r="G154" s="31"/>
      <c r="H154" s="28"/>
      <c r="I154" s="32" t="str">
        <f aca="false">IF(OR(B154="",E154=""),"",IF(SUMIFS($F$5:$F$304,$B$5:$B$304,B154,$E$5:$E$304,E154)&gt;=IFERROR(INDEX(Tenancies!$G$5:$G$50,MATCH(B154,Tenancies!$A$5:$A$50,0)),0),"Rent complete","Partial"))</f>
        <v/>
      </c>
      <c r="J154" s="28"/>
    </row>
    <row r="155" customFormat="false" ht="15" hidden="false" customHeight="false" outlineLevel="0" collapsed="false">
      <c r="A155" s="27"/>
      <c r="B155" s="28"/>
      <c r="C155" s="29" t="str">
        <f aca="false">IF(B155="","",IFERROR(INDEX(Tenancies!$B$5:$B$50,MATCH(B155,Tenancies!$A$5:$A$50,0)),"Check ID"))</f>
        <v/>
      </c>
      <c r="D155" s="29" t="str">
        <f aca="false">IF(B155="","",IFERROR(INDEX(Tenancies!$D$5:$D$50,MATCH(B155,Tenancies!$A$5:$A$50,0)),"Check ID"))</f>
        <v/>
      </c>
      <c r="E155" s="30"/>
      <c r="F155" s="31"/>
      <c r="G155" s="31"/>
      <c r="H155" s="28"/>
      <c r="I155" s="32" t="str">
        <f aca="false">IF(OR(B155="",E155=""),"",IF(SUMIFS($F$5:$F$304,$B$5:$B$304,B155,$E$5:$E$304,E155)&gt;=IFERROR(INDEX(Tenancies!$G$5:$G$50,MATCH(B155,Tenancies!$A$5:$A$50,0)),0),"Rent complete","Partial"))</f>
        <v/>
      </c>
      <c r="J155" s="28"/>
    </row>
    <row r="156" customFormat="false" ht="15" hidden="false" customHeight="false" outlineLevel="0" collapsed="false">
      <c r="A156" s="27"/>
      <c r="B156" s="28"/>
      <c r="C156" s="29" t="str">
        <f aca="false">IF(B156="","",IFERROR(INDEX(Tenancies!$B$5:$B$50,MATCH(B156,Tenancies!$A$5:$A$50,0)),"Check ID"))</f>
        <v/>
      </c>
      <c r="D156" s="29" t="str">
        <f aca="false">IF(B156="","",IFERROR(INDEX(Tenancies!$D$5:$D$50,MATCH(B156,Tenancies!$A$5:$A$50,0)),"Check ID"))</f>
        <v/>
      </c>
      <c r="E156" s="30"/>
      <c r="F156" s="31"/>
      <c r="G156" s="31"/>
      <c r="H156" s="28"/>
      <c r="I156" s="32" t="str">
        <f aca="false">IF(OR(B156="",E156=""),"",IF(SUMIFS($F$5:$F$304,$B$5:$B$304,B156,$E$5:$E$304,E156)&gt;=IFERROR(INDEX(Tenancies!$G$5:$G$50,MATCH(B156,Tenancies!$A$5:$A$50,0)),0),"Rent complete","Partial"))</f>
        <v/>
      </c>
      <c r="J156" s="28"/>
    </row>
    <row r="157" customFormat="false" ht="15" hidden="false" customHeight="false" outlineLevel="0" collapsed="false">
      <c r="A157" s="27"/>
      <c r="B157" s="28"/>
      <c r="C157" s="29" t="str">
        <f aca="false">IF(B157="","",IFERROR(INDEX(Tenancies!$B$5:$B$50,MATCH(B157,Tenancies!$A$5:$A$50,0)),"Check ID"))</f>
        <v/>
      </c>
      <c r="D157" s="29" t="str">
        <f aca="false">IF(B157="","",IFERROR(INDEX(Tenancies!$D$5:$D$50,MATCH(B157,Tenancies!$A$5:$A$50,0)),"Check ID"))</f>
        <v/>
      </c>
      <c r="E157" s="30"/>
      <c r="F157" s="31"/>
      <c r="G157" s="31"/>
      <c r="H157" s="28"/>
      <c r="I157" s="32" t="str">
        <f aca="false">IF(OR(B157="",E157=""),"",IF(SUMIFS($F$5:$F$304,$B$5:$B$304,B157,$E$5:$E$304,E157)&gt;=IFERROR(INDEX(Tenancies!$G$5:$G$50,MATCH(B157,Tenancies!$A$5:$A$50,0)),0),"Rent complete","Partial"))</f>
        <v/>
      </c>
      <c r="J157" s="28"/>
    </row>
    <row r="158" customFormat="false" ht="15" hidden="false" customHeight="false" outlineLevel="0" collapsed="false">
      <c r="A158" s="27"/>
      <c r="B158" s="28"/>
      <c r="C158" s="29" t="str">
        <f aca="false">IF(B158="","",IFERROR(INDEX(Tenancies!$B$5:$B$50,MATCH(B158,Tenancies!$A$5:$A$50,0)),"Check ID"))</f>
        <v/>
      </c>
      <c r="D158" s="29" t="str">
        <f aca="false">IF(B158="","",IFERROR(INDEX(Tenancies!$D$5:$D$50,MATCH(B158,Tenancies!$A$5:$A$50,0)),"Check ID"))</f>
        <v/>
      </c>
      <c r="E158" s="30"/>
      <c r="F158" s="31"/>
      <c r="G158" s="31"/>
      <c r="H158" s="28"/>
      <c r="I158" s="32" t="str">
        <f aca="false">IF(OR(B158="",E158=""),"",IF(SUMIFS($F$5:$F$304,$B$5:$B$304,B158,$E$5:$E$304,E158)&gt;=IFERROR(INDEX(Tenancies!$G$5:$G$50,MATCH(B158,Tenancies!$A$5:$A$50,0)),0),"Rent complete","Partial"))</f>
        <v/>
      </c>
      <c r="J158" s="28"/>
    </row>
    <row r="159" customFormat="false" ht="15" hidden="false" customHeight="false" outlineLevel="0" collapsed="false">
      <c r="A159" s="27"/>
      <c r="B159" s="28"/>
      <c r="C159" s="29" t="str">
        <f aca="false">IF(B159="","",IFERROR(INDEX(Tenancies!$B$5:$B$50,MATCH(B159,Tenancies!$A$5:$A$50,0)),"Check ID"))</f>
        <v/>
      </c>
      <c r="D159" s="29" t="str">
        <f aca="false">IF(B159="","",IFERROR(INDEX(Tenancies!$D$5:$D$50,MATCH(B159,Tenancies!$A$5:$A$50,0)),"Check ID"))</f>
        <v/>
      </c>
      <c r="E159" s="30"/>
      <c r="F159" s="31"/>
      <c r="G159" s="31"/>
      <c r="H159" s="28"/>
      <c r="I159" s="32" t="str">
        <f aca="false">IF(OR(B159="",E159=""),"",IF(SUMIFS($F$5:$F$304,$B$5:$B$304,B159,$E$5:$E$304,E159)&gt;=IFERROR(INDEX(Tenancies!$G$5:$G$50,MATCH(B159,Tenancies!$A$5:$A$50,0)),0),"Rent complete","Partial"))</f>
        <v/>
      </c>
      <c r="J159" s="28"/>
    </row>
    <row r="160" customFormat="false" ht="15" hidden="false" customHeight="false" outlineLevel="0" collapsed="false">
      <c r="A160" s="27"/>
      <c r="B160" s="28"/>
      <c r="C160" s="29" t="str">
        <f aca="false">IF(B160="","",IFERROR(INDEX(Tenancies!$B$5:$B$50,MATCH(B160,Tenancies!$A$5:$A$50,0)),"Check ID"))</f>
        <v/>
      </c>
      <c r="D160" s="29" t="str">
        <f aca="false">IF(B160="","",IFERROR(INDEX(Tenancies!$D$5:$D$50,MATCH(B160,Tenancies!$A$5:$A$50,0)),"Check ID"))</f>
        <v/>
      </c>
      <c r="E160" s="30"/>
      <c r="F160" s="31"/>
      <c r="G160" s="31"/>
      <c r="H160" s="28"/>
      <c r="I160" s="32" t="str">
        <f aca="false">IF(OR(B160="",E160=""),"",IF(SUMIFS($F$5:$F$304,$B$5:$B$304,B160,$E$5:$E$304,E160)&gt;=IFERROR(INDEX(Tenancies!$G$5:$G$50,MATCH(B160,Tenancies!$A$5:$A$50,0)),0),"Rent complete","Partial"))</f>
        <v/>
      </c>
      <c r="J160" s="28"/>
    </row>
    <row r="161" customFormat="false" ht="15" hidden="false" customHeight="false" outlineLevel="0" collapsed="false">
      <c r="A161" s="27"/>
      <c r="B161" s="28"/>
      <c r="C161" s="29" t="str">
        <f aca="false">IF(B161="","",IFERROR(INDEX(Tenancies!$B$5:$B$50,MATCH(B161,Tenancies!$A$5:$A$50,0)),"Check ID"))</f>
        <v/>
      </c>
      <c r="D161" s="29" t="str">
        <f aca="false">IF(B161="","",IFERROR(INDEX(Tenancies!$D$5:$D$50,MATCH(B161,Tenancies!$A$5:$A$50,0)),"Check ID"))</f>
        <v/>
      </c>
      <c r="E161" s="30"/>
      <c r="F161" s="31"/>
      <c r="G161" s="31"/>
      <c r="H161" s="28"/>
      <c r="I161" s="32" t="str">
        <f aca="false">IF(OR(B161="",E161=""),"",IF(SUMIFS($F$5:$F$304,$B$5:$B$304,B161,$E$5:$E$304,E161)&gt;=IFERROR(INDEX(Tenancies!$G$5:$G$50,MATCH(B161,Tenancies!$A$5:$A$50,0)),0),"Rent complete","Partial"))</f>
        <v/>
      </c>
      <c r="J161" s="28"/>
    </row>
    <row r="162" customFormat="false" ht="15" hidden="false" customHeight="false" outlineLevel="0" collapsed="false">
      <c r="A162" s="27"/>
      <c r="B162" s="28"/>
      <c r="C162" s="29" t="str">
        <f aca="false">IF(B162="","",IFERROR(INDEX(Tenancies!$B$5:$B$50,MATCH(B162,Tenancies!$A$5:$A$50,0)),"Check ID"))</f>
        <v/>
      </c>
      <c r="D162" s="29" t="str">
        <f aca="false">IF(B162="","",IFERROR(INDEX(Tenancies!$D$5:$D$50,MATCH(B162,Tenancies!$A$5:$A$50,0)),"Check ID"))</f>
        <v/>
      </c>
      <c r="E162" s="30"/>
      <c r="F162" s="31"/>
      <c r="G162" s="31"/>
      <c r="H162" s="28"/>
      <c r="I162" s="32" t="str">
        <f aca="false">IF(OR(B162="",E162=""),"",IF(SUMIFS($F$5:$F$304,$B$5:$B$304,B162,$E$5:$E$304,E162)&gt;=IFERROR(INDEX(Tenancies!$G$5:$G$50,MATCH(B162,Tenancies!$A$5:$A$50,0)),0),"Rent complete","Partial"))</f>
        <v/>
      </c>
      <c r="J162" s="28"/>
    </row>
    <row r="163" customFormat="false" ht="15" hidden="false" customHeight="false" outlineLevel="0" collapsed="false">
      <c r="A163" s="27"/>
      <c r="B163" s="28"/>
      <c r="C163" s="29" t="str">
        <f aca="false">IF(B163="","",IFERROR(INDEX(Tenancies!$B$5:$B$50,MATCH(B163,Tenancies!$A$5:$A$50,0)),"Check ID"))</f>
        <v/>
      </c>
      <c r="D163" s="29" t="str">
        <f aca="false">IF(B163="","",IFERROR(INDEX(Tenancies!$D$5:$D$50,MATCH(B163,Tenancies!$A$5:$A$50,0)),"Check ID"))</f>
        <v/>
      </c>
      <c r="E163" s="30"/>
      <c r="F163" s="31"/>
      <c r="G163" s="31"/>
      <c r="H163" s="28"/>
      <c r="I163" s="32" t="str">
        <f aca="false">IF(OR(B163="",E163=""),"",IF(SUMIFS($F$5:$F$304,$B$5:$B$304,B163,$E$5:$E$304,E163)&gt;=IFERROR(INDEX(Tenancies!$G$5:$G$50,MATCH(B163,Tenancies!$A$5:$A$50,0)),0),"Rent complete","Partial"))</f>
        <v/>
      </c>
      <c r="J163" s="28"/>
    </row>
    <row r="164" customFormat="false" ht="15" hidden="false" customHeight="false" outlineLevel="0" collapsed="false">
      <c r="A164" s="27"/>
      <c r="B164" s="28"/>
      <c r="C164" s="29" t="str">
        <f aca="false">IF(B164="","",IFERROR(INDEX(Tenancies!$B$5:$B$50,MATCH(B164,Tenancies!$A$5:$A$50,0)),"Check ID"))</f>
        <v/>
      </c>
      <c r="D164" s="29" t="str">
        <f aca="false">IF(B164="","",IFERROR(INDEX(Tenancies!$D$5:$D$50,MATCH(B164,Tenancies!$A$5:$A$50,0)),"Check ID"))</f>
        <v/>
      </c>
      <c r="E164" s="30"/>
      <c r="F164" s="31"/>
      <c r="G164" s="31"/>
      <c r="H164" s="28"/>
      <c r="I164" s="32" t="str">
        <f aca="false">IF(OR(B164="",E164=""),"",IF(SUMIFS($F$5:$F$304,$B$5:$B$304,B164,$E$5:$E$304,E164)&gt;=IFERROR(INDEX(Tenancies!$G$5:$G$50,MATCH(B164,Tenancies!$A$5:$A$50,0)),0),"Rent complete","Partial"))</f>
        <v/>
      </c>
      <c r="J164" s="28"/>
    </row>
    <row r="165" customFormat="false" ht="15" hidden="false" customHeight="false" outlineLevel="0" collapsed="false">
      <c r="A165" s="27"/>
      <c r="B165" s="28"/>
      <c r="C165" s="29" t="str">
        <f aca="false">IF(B165="","",IFERROR(INDEX(Tenancies!$B$5:$B$50,MATCH(B165,Tenancies!$A$5:$A$50,0)),"Check ID"))</f>
        <v/>
      </c>
      <c r="D165" s="29" t="str">
        <f aca="false">IF(B165="","",IFERROR(INDEX(Tenancies!$D$5:$D$50,MATCH(B165,Tenancies!$A$5:$A$50,0)),"Check ID"))</f>
        <v/>
      </c>
      <c r="E165" s="30"/>
      <c r="F165" s="31"/>
      <c r="G165" s="31"/>
      <c r="H165" s="28"/>
      <c r="I165" s="32" t="str">
        <f aca="false">IF(OR(B165="",E165=""),"",IF(SUMIFS($F$5:$F$304,$B$5:$B$304,B165,$E$5:$E$304,E165)&gt;=IFERROR(INDEX(Tenancies!$G$5:$G$50,MATCH(B165,Tenancies!$A$5:$A$50,0)),0),"Rent complete","Partial"))</f>
        <v/>
      </c>
      <c r="J165" s="28"/>
    </row>
    <row r="166" customFormat="false" ht="15" hidden="false" customHeight="false" outlineLevel="0" collapsed="false">
      <c r="A166" s="27"/>
      <c r="B166" s="28"/>
      <c r="C166" s="29" t="str">
        <f aca="false">IF(B166="","",IFERROR(INDEX(Tenancies!$B$5:$B$50,MATCH(B166,Tenancies!$A$5:$A$50,0)),"Check ID"))</f>
        <v/>
      </c>
      <c r="D166" s="29" t="str">
        <f aca="false">IF(B166="","",IFERROR(INDEX(Tenancies!$D$5:$D$50,MATCH(B166,Tenancies!$A$5:$A$50,0)),"Check ID"))</f>
        <v/>
      </c>
      <c r="E166" s="30"/>
      <c r="F166" s="31"/>
      <c r="G166" s="31"/>
      <c r="H166" s="28"/>
      <c r="I166" s="32" t="str">
        <f aca="false">IF(OR(B166="",E166=""),"",IF(SUMIFS($F$5:$F$304,$B$5:$B$304,B166,$E$5:$E$304,E166)&gt;=IFERROR(INDEX(Tenancies!$G$5:$G$50,MATCH(B166,Tenancies!$A$5:$A$50,0)),0),"Rent complete","Partial"))</f>
        <v/>
      </c>
      <c r="J166" s="28"/>
    </row>
    <row r="167" customFormat="false" ht="15" hidden="false" customHeight="false" outlineLevel="0" collapsed="false">
      <c r="A167" s="27"/>
      <c r="B167" s="28"/>
      <c r="C167" s="29" t="str">
        <f aca="false">IF(B167="","",IFERROR(INDEX(Tenancies!$B$5:$B$50,MATCH(B167,Tenancies!$A$5:$A$50,0)),"Check ID"))</f>
        <v/>
      </c>
      <c r="D167" s="29" t="str">
        <f aca="false">IF(B167="","",IFERROR(INDEX(Tenancies!$D$5:$D$50,MATCH(B167,Tenancies!$A$5:$A$50,0)),"Check ID"))</f>
        <v/>
      </c>
      <c r="E167" s="30"/>
      <c r="F167" s="31"/>
      <c r="G167" s="31"/>
      <c r="H167" s="28"/>
      <c r="I167" s="32" t="str">
        <f aca="false">IF(OR(B167="",E167=""),"",IF(SUMIFS($F$5:$F$304,$B$5:$B$304,B167,$E$5:$E$304,E167)&gt;=IFERROR(INDEX(Tenancies!$G$5:$G$50,MATCH(B167,Tenancies!$A$5:$A$50,0)),0),"Rent complete","Partial"))</f>
        <v/>
      </c>
      <c r="J167" s="28"/>
    </row>
    <row r="168" customFormat="false" ht="15" hidden="false" customHeight="false" outlineLevel="0" collapsed="false">
      <c r="A168" s="27"/>
      <c r="B168" s="28"/>
      <c r="C168" s="29" t="str">
        <f aca="false">IF(B168="","",IFERROR(INDEX(Tenancies!$B$5:$B$50,MATCH(B168,Tenancies!$A$5:$A$50,0)),"Check ID"))</f>
        <v/>
      </c>
      <c r="D168" s="29" t="str">
        <f aca="false">IF(B168="","",IFERROR(INDEX(Tenancies!$D$5:$D$50,MATCH(B168,Tenancies!$A$5:$A$50,0)),"Check ID"))</f>
        <v/>
      </c>
      <c r="E168" s="30"/>
      <c r="F168" s="31"/>
      <c r="G168" s="31"/>
      <c r="H168" s="28"/>
      <c r="I168" s="32" t="str">
        <f aca="false">IF(OR(B168="",E168=""),"",IF(SUMIFS($F$5:$F$304,$B$5:$B$304,B168,$E$5:$E$304,E168)&gt;=IFERROR(INDEX(Tenancies!$G$5:$G$50,MATCH(B168,Tenancies!$A$5:$A$50,0)),0),"Rent complete","Partial"))</f>
        <v/>
      </c>
      <c r="J168" s="28"/>
    </row>
    <row r="169" customFormat="false" ht="15" hidden="false" customHeight="false" outlineLevel="0" collapsed="false">
      <c r="A169" s="27"/>
      <c r="B169" s="28"/>
      <c r="C169" s="29" t="str">
        <f aca="false">IF(B169="","",IFERROR(INDEX(Tenancies!$B$5:$B$50,MATCH(B169,Tenancies!$A$5:$A$50,0)),"Check ID"))</f>
        <v/>
      </c>
      <c r="D169" s="29" t="str">
        <f aca="false">IF(B169="","",IFERROR(INDEX(Tenancies!$D$5:$D$50,MATCH(B169,Tenancies!$A$5:$A$50,0)),"Check ID"))</f>
        <v/>
      </c>
      <c r="E169" s="30"/>
      <c r="F169" s="31"/>
      <c r="G169" s="31"/>
      <c r="H169" s="28"/>
      <c r="I169" s="32" t="str">
        <f aca="false">IF(OR(B169="",E169=""),"",IF(SUMIFS($F$5:$F$304,$B$5:$B$304,B169,$E$5:$E$304,E169)&gt;=IFERROR(INDEX(Tenancies!$G$5:$G$50,MATCH(B169,Tenancies!$A$5:$A$50,0)),0),"Rent complete","Partial"))</f>
        <v/>
      </c>
      <c r="J169" s="28"/>
    </row>
    <row r="170" customFormat="false" ht="15" hidden="false" customHeight="false" outlineLevel="0" collapsed="false">
      <c r="A170" s="27"/>
      <c r="B170" s="28"/>
      <c r="C170" s="29" t="str">
        <f aca="false">IF(B170="","",IFERROR(INDEX(Tenancies!$B$5:$B$50,MATCH(B170,Tenancies!$A$5:$A$50,0)),"Check ID"))</f>
        <v/>
      </c>
      <c r="D170" s="29" t="str">
        <f aca="false">IF(B170="","",IFERROR(INDEX(Tenancies!$D$5:$D$50,MATCH(B170,Tenancies!$A$5:$A$50,0)),"Check ID"))</f>
        <v/>
      </c>
      <c r="E170" s="30"/>
      <c r="F170" s="31"/>
      <c r="G170" s="31"/>
      <c r="H170" s="28"/>
      <c r="I170" s="32" t="str">
        <f aca="false">IF(OR(B170="",E170=""),"",IF(SUMIFS($F$5:$F$304,$B$5:$B$304,B170,$E$5:$E$304,E170)&gt;=IFERROR(INDEX(Tenancies!$G$5:$G$50,MATCH(B170,Tenancies!$A$5:$A$50,0)),0),"Rent complete","Partial"))</f>
        <v/>
      </c>
      <c r="J170" s="28"/>
    </row>
    <row r="171" customFormat="false" ht="15" hidden="false" customHeight="false" outlineLevel="0" collapsed="false">
      <c r="A171" s="27"/>
      <c r="B171" s="28"/>
      <c r="C171" s="29" t="str">
        <f aca="false">IF(B171="","",IFERROR(INDEX(Tenancies!$B$5:$B$50,MATCH(B171,Tenancies!$A$5:$A$50,0)),"Check ID"))</f>
        <v/>
      </c>
      <c r="D171" s="29" t="str">
        <f aca="false">IF(B171="","",IFERROR(INDEX(Tenancies!$D$5:$D$50,MATCH(B171,Tenancies!$A$5:$A$50,0)),"Check ID"))</f>
        <v/>
      </c>
      <c r="E171" s="30"/>
      <c r="F171" s="31"/>
      <c r="G171" s="31"/>
      <c r="H171" s="28"/>
      <c r="I171" s="32" t="str">
        <f aca="false">IF(OR(B171="",E171=""),"",IF(SUMIFS($F$5:$F$304,$B$5:$B$304,B171,$E$5:$E$304,E171)&gt;=IFERROR(INDEX(Tenancies!$G$5:$G$50,MATCH(B171,Tenancies!$A$5:$A$50,0)),0),"Rent complete","Partial"))</f>
        <v/>
      </c>
      <c r="J171" s="28"/>
    </row>
    <row r="172" customFormat="false" ht="15" hidden="false" customHeight="false" outlineLevel="0" collapsed="false">
      <c r="A172" s="27"/>
      <c r="B172" s="28"/>
      <c r="C172" s="29" t="str">
        <f aca="false">IF(B172="","",IFERROR(INDEX(Tenancies!$B$5:$B$50,MATCH(B172,Tenancies!$A$5:$A$50,0)),"Check ID"))</f>
        <v/>
      </c>
      <c r="D172" s="29" t="str">
        <f aca="false">IF(B172="","",IFERROR(INDEX(Tenancies!$D$5:$D$50,MATCH(B172,Tenancies!$A$5:$A$50,0)),"Check ID"))</f>
        <v/>
      </c>
      <c r="E172" s="30"/>
      <c r="F172" s="31"/>
      <c r="G172" s="31"/>
      <c r="H172" s="28"/>
      <c r="I172" s="32" t="str">
        <f aca="false">IF(OR(B172="",E172=""),"",IF(SUMIFS($F$5:$F$304,$B$5:$B$304,B172,$E$5:$E$304,E172)&gt;=IFERROR(INDEX(Tenancies!$G$5:$G$50,MATCH(B172,Tenancies!$A$5:$A$50,0)),0),"Rent complete","Partial"))</f>
        <v/>
      </c>
      <c r="J172" s="28"/>
    </row>
    <row r="173" customFormat="false" ht="15" hidden="false" customHeight="false" outlineLevel="0" collapsed="false">
      <c r="A173" s="27"/>
      <c r="B173" s="28"/>
      <c r="C173" s="29" t="str">
        <f aca="false">IF(B173="","",IFERROR(INDEX(Tenancies!$B$5:$B$50,MATCH(B173,Tenancies!$A$5:$A$50,0)),"Check ID"))</f>
        <v/>
      </c>
      <c r="D173" s="29" t="str">
        <f aca="false">IF(B173="","",IFERROR(INDEX(Tenancies!$D$5:$D$50,MATCH(B173,Tenancies!$A$5:$A$50,0)),"Check ID"))</f>
        <v/>
      </c>
      <c r="E173" s="30"/>
      <c r="F173" s="31"/>
      <c r="G173" s="31"/>
      <c r="H173" s="28"/>
      <c r="I173" s="32" t="str">
        <f aca="false">IF(OR(B173="",E173=""),"",IF(SUMIFS($F$5:$F$304,$B$5:$B$304,B173,$E$5:$E$304,E173)&gt;=IFERROR(INDEX(Tenancies!$G$5:$G$50,MATCH(B173,Tenancies!$A$5:$A$50,0)),0),"Rent complete","Partial"))</f>
        <v/>
      </c>
      <c r="J173" s="28"/>
    </row>
    <row r="174" customFormat="false" ht="15" hidden="false" customHeight="false" outlineLevel="0" collapsed="false">
      <c r="A174" s="27"/>
      <c r="B174" s="28"/>
      <c r="C174" s="29" t="str">
        <f aca="false">IF(B174="","",IFERROR(INDEX(Tenancies!$B$5:$B$50,MATCH(B174,Tenancies!$A$5:$A$50,0)),"Check ID"))</f>
        <v/>
      </c>
      <c r="D174" s="29" t="str">
        <f aca="false">IF(B174="","",IFERROR(INDEX(Tenancies!$D$5:$D$50,MATCH(B174,Tenancies!$A$5:$A$50,0)),"Check ID"))</f>
        <v/>
      </c>
      <c r="E174" s="30"/>
      <c r="F174" s="31"/>
      <c r="G174" s="31"/>
      <c r="H174" s="28"/>
      <c r="I174" s="32" t="str">
        <f aca="false">IF(OR(B174="",E174=""),"",IF(SUMIFS($F$5:$F$304,$B$5:$B$304,B174,$E$5:$E$304,E174)&gt;=IFERROR(INDEX(Tenancies!$G$5:$G$50,MATCH(B174,Tenancies!$A$5:$A$50,0)),0),"Rent complete","Partial"))</f>
        <v/>
      </c>
      <c r="J174" s="28"/>
    </row>
    <row r="175" customFormat="false" ht="15" hidden="false" customHeight="false" outlineLevel="0" collapsed="false">
      <c r="A175" s="27"/>
      <c r="B175" s="28"/>
      <c r="C175" s="29" t="str">
        <f aca="false">IF(B175="","",IFERROR(INDEX(Tenancies!$B$5:$B$50,MATCH(B175,Tenancies!$A$5:$A$50,0)),"Check ID"))</f>
        <v/>
      </c>
      <c r="D175" s="29" t="str">
        <f aca="false">IF(B175="","",IFERROR(INDEX(Tenancies!$D$5:$D$50,MATCH(B175,Tenancies!$A$5:$A$50,0)),"Check ID"))</f>
        <v/>
      </c>
      <c r="E175" s="30"/>
      <c r="F175" s="31"/>
      <c r="G175" s="31"/>
      <c r="H175" s="28"/>
      <c r="I175" s="32" t="str">
        <f aca="false">IF(OR(B175="",E175=""),"",IF(SUMIFS($F$5:$F$304,$B$5:$B$304,B175,$E$5:$E$304,E175)&gt;=IFERROR(INDEX(Tenancies!$G$5:$G$50,MATCH(B175,Tenancies!$A$5:$A$50,0)),0),"Rent complete","Partial"))</f>
        <v/>
      </c>
      <c r="J175" s="28"/>
    </row>
    <row r="176" customFormat="false" ht="15" hidden="false" customHeight="false" outlineLevel="0" collapsed="false">
      <c r="A176" s="27"/>
      <c r="B176" s="28"/>
      <c r="C176" s="29" t="str">
        <f aca="false">IF(B176="","",IFERROR(INDEX(Tenancies!$B$5:$B$50,MATCH(B176,Tenancies!$A$5:$A$50,0)),"Check ID"))</f>
        <v/>
      </c>
      <c r="D176" s="29" t="str">
        <f aca="false">IF(B176="","",IFERROR(INDEX(Tenancies!$D$5:$D$50,MATCH(B176,Tenancies!$A$5:$A$50,0)),"Check ID"))</f>
        <v/>
      </c>
      <c r="E176" s="30"/>
      <c r="F176" s="31"/>
      <c r="G176" s="31"/>
      <c r="H176" s="28"/>
      <c r="I176" s="32" t="str">
        <f aca="false">IF(OR(B176="",E176=""),"",IF(SUMIFS($F$5:$F$304,$B$5:$B$304,B176,$E$5:$E$304,E176)&gt;=IFERROR(INDEX(Tenancies!$G$5:$G$50,MATCH(B176,Tenancies!$A$5:$A$50,0)),0),"Rent complete","Partial"))</f>
        <v/>
      </c>
      <c r="J176" s="28"/>
    </row>
    <row r="177" customFormat="false" ht="15" hidden="false" customHeight="false" outlineLevel="0" collapsed="false">
      <c r="A177" s="27"/>
      <c r="B177" s="28"/>
      <c r="C177" s="29" t="str">
        <f aca="false">IF(B177="","",IFERROR(INDEX(Tenancies!$B$5:$B$50,MATCH(B177,Tenancies!$A$5:$A$50,0)),"Check ID"))</f>
        <v/>
      </c>
      <c r="D177" s="29" t="str">
        <f aca="false">IF(B177="","",IFERROR(INDEX(Tenancies!$D$5:$D$50,MATCH(B177,Tenancies!$A$5:$A$50,0)),"Check ID"))</f>
        <v/>
      </c>
      <c r="E177" s="30"/>
      <c r="F177" s="31"/>
      <c r="G177" s="31"/>
      <c r="H177" s="28"/>
      <c r="I177" s="32" t="str">
        <f aca="false">IF(OR(B177="",E177=""),"",IF(SUMIFS($F$5:$F$304,$B$5:$B$304,B177,$E$5:$E$304,E177)&gt;=IFERROR(INDEX(Tenancies!$G$5:$G$50,MATCH(B177,Tenancies!$A$5:$A$50,0)),0),"Rent complete","Partial"))</f>
        <v/>
      </c>
      <c r="J177" s="28"/>
    </row>
    <row r="178" customFormat="false" ht="15" hidden="false" customHeight="false" outlineLevel="0" collapsed="false">
      <c r="A178" s="27"/>
      <c r="B178" s="28"/>
      <c r="C178" s="29" t="str">
        <f aca="false">IF(B178="","",IFERROR(INDEX(Tenancies!$B$5:$B$50,MATCH(B178,Tenancies!$A$5:$A$50,0)),"Check ID"))</f>
        <v/>
      </c>
      <c r="D178" s="29" t="str">
        <f aca="false">IF(B178="","",IFERROR(INDEX(Tenancies!$D$5:$D$50,MATCH(B178,Tenancies!$A$5:$A$50,0)),"Check ID"))</f>
        <v/>
      </c>
      <c r="E178" s="30"/>
      <c r="F178" s="31"/>
      <c r="G178" s="31"/>
      <c r="H178" s="28"/>
      <c r="I178" s="32" t="str">
        <f aca="false">IF(OR(B178="",E178=""),"",IF(SUMIFS($F$5:$F$304,$B$5:$B$304,B178,$E$5:$E$304,E178)&gt;=IFERROR(INDEX(Tenancies!$G$5:$G$50,MATCH(B178,Tenancies!$A$5:$A$50,0)),0),"Rent complete","Partial"))</f>
        <v/>
      </c>
      <c r="J178" s="28"/>
    </row>
    <row r="179" customFormat="false" ht="15" hidden="false" customHeight="false" outlineLevel="0" collapsed="false">
      <c r="A179" s="27"/>
      <c r="B179" s="28"/>
      <c r="C179" s="29" t="str">
        <f aca="false">IF(B179="","",IFERROR(INDEX(Tenancies!$B$5:$B$50,MATCH(B179,Tenancies!$A$5:$A$50,0)),"Check ID"))</f>
        <v/>
      </c>
      <c r="D179" s="29" t="str">
        <f aca="false">IF(B179="","",IFERROR(INDEX(Tenancies!$D$5:$D$50,MATCH(B179,Tenancies!$A$5:$A$50,0)),"Check ID"))</f>
        <v/>
      </c>
      <c r="E179" s="30"/>
      <c r="F179" s="31"/>
      <c r="G179" s="31"/>
      <c r="H179" s="28"/>
      <c r="I179" s="32" t="str">
        <f aca="false">IF(OR(B179="",E179=""),"",IF(SUMIFS($F$5:$F$304,$B$5:$B$304,B179,$E$5:$E$304,E179)&gt;=IFERROR(INDEX(Tenancies!$G$5:$G$50,MATCH(B179,Tenancies!$A$5:$A$50,0)),0),"Rent complete","Partial"))</f>
        <v/>
      </c>
      <c r="J179" s="28"/>
    </row>
    <row r="180" customFormat="false" ht="15" hidden="false" customHeight="false" outlineLevel="0" collapsed="false">
      <c r="A180" s="27"/>
      <c r="B180" s="28"/>
      <c r="C180" s="29" t="str">
        <f aca="false">IF(B180="","",IFERROR(INDEX(Tenancies!$B$5:$B$50,MATCH(B180,Tenancies!$A$5:$A$50,0)),"Check ID"))</f>
        <v/>
      </c>
      <c r="D180" s="29" t="str">
        <f aca="false">IF(B180="","",IFERROR(INDEX(Tenancies!$D$5:$D$50,MATCH(B180,Tenancies!$A$5:$A$50,0)),"Check ID"))</f>
        <v/>
      </c>
      <c r="E180" s="30"/>
      <c r="F180" s="31"/>
      <c r="G180" s="31"/>
      <c r="H180" s="28"/>
      <c r="I180" s="32" t="str">
        <f aca="false">IF(OR(B180="",E180=""),"",IF(SUMIFS($F$5:$F$304,$B$5:$B$304,B180,$E$5:$E$304,E180)&gt;=IFERROR(INDEX(Tenancies!$G$5:$G$50,MATCH(B180,Tenancies!$A$5:$A$50,0)),0),"Rent complete","Partial"))</f>
        <v/>
      </c>
      <c r="J180" s="28"/>
    </row>
    <row r="181" customFormat="false" ht="15" hidden="false" customHeight="false" outlineLevel="0" collapsed="false">
      <c r="A181" s="27"/>
      <c r="B181" s="28"/>
      <c r="C181" s="29" t="str">
        <f aca="false">IF(B181="","",IFERROR(INDEX(Tenancies!$B$5:$B$50,MATCH(B181,Tenancies!$A$5:$A$50,0)),"Check ID"))</f>
        <v/>
      </c>
      <c r="D181" s="29" t="str">
        <f aca="false">IF(B181="","",IFERROR(INDEX(Tenancies!$D$5:$D$50,MATCH(B181,Tenancies!$A$5:$A$50,0)),"Check ID"))</f>
        <v/>
      </c>
      <c r="E181" s="30"/>
      <c r="F181" s="31"/>
      <c r="G181" s="31"/>
      <c r="H181" s="28"/>
      <c r="I181" s="32" t="str">
        <f aca="false">IF(OR(B181="",E181=""),"",IF(SUMIFS($F$5:$F$304,$B$5:$B$304,B181,$E$5:$E$304,E181)&gt;=IFERROR(INDEX(Tenancies!$G$5:$G$50,MATCH(B181,Tenancies!$A$5:$A$50,0)),0),"Rent complete","Partial"))</f>
        <v/>
      </c>
      <c r="J181" s="28"/>
    </row>
    <row r="182" customFormat="false" ht="15" hidden="false" customHeight="false" outlineLevel="0" collapsed="false">
      <c r="A182" s="27"/>
      <c r="B182" s="28"/>
      <c r="C182" s="29" t="str">
        <f aca="false">IF(B182="","",IFERROR(INDEX(Tenancies!$B$5:$B$50,MATCH(B182,Tenancies!$A$5:$A$50,0)),"Check ID"))</f>
        <v/>
      </c>
      <c r="D182" s="29" t="str">
        <f aca="false">IF(B182="","",IFERROR(INDEX(Tenancies!$D$5:$D$50,MATCH(B182,Tenancies!$A$5:$A$50,0)),"Check ID"))</f>
        <v/>
      </c>
      <c r="E182" s="30"/>
      <c r="F182" s="31"/>
      <c r="G182" s="31"/>
      <c r="H182" s="28"/>
      <c r="I182" s="32" t="str">
        <f aca="false">IF(OR(B182="",E182=""),"",IF(SUMIFS($F$5:$F$304,$B$5:$B$304,B182,$E$5:$E$304,E182)&gt;=IFERROR(INDEX(Tenancies!$G$5:$G$50,MATCH(B182,Tenancies!$A$5:$A$50,0)),0),"Rent complete","Partial"))</f>
        <v/>
      </c>
      <c r="J182" s="28"/>
    </row>
    <row r="183" customFormat="false" ht="15" hidden="false" customHeight="false" outlineLevel="0" collapsed="false">
      <c r="A183" s="27"/>
      <c r="B183" s="28"/>
      <c r="C183" s="29" t="str">
        <f aca="false">IF(B183="","",IFERROR(INDEX(Tenancies!$B$5:$B$50,MATCH(B183,Tenancies!$A$5:$A$50,0)),"Check ID"))</f>
        <v/>
      </c>
      <c r="D183" s="29" t="str">
        <f aca="false">IF(B183="","",IFERROR(INDEX(Tenancies!$D$5:$D$50,MATCH(B183,Tenancies!$A$5:$A$50,0)),"Check ID"))</f>
        <v/>
      </c>
      <c r="E183" s="30"/>
      <c r="F183" s="31"/>
      <c r="G183" s="31"/>
      <c r="H183" s="28"/>
      <c r="I183" s="32" t="str">
        <f aca="false">IF(OR(B183="",E183=""),"",IF(SUMIFS($F$5:$F$304,$B$5:$B$304,B183,$E$5:$E$304,E183)&gt;=IFERROR(INDEX(Tenancies!$G$5:$G$50,MATCH(B183,Tenancies!$A$5:$A$50,0)),0),"Rent complete","Partial"))</f>
        <v/>
      </c>
      <c r="J183" s="28"/>
    </row>
    <row r="184" customFormat="false" ht="15" hidden="false" customHeight="false" outlineLevel="0" collapsed="false">
      <c r="A184" s="27"/>
      <c r="B184" s="28"/>
      <c r="C184" s="29" t="str">
        <f aca="false">IF(B184="","",IFERROR(INDEX(Tenancies!$B$5:$B$50,MATCH(B184,Tenancies!$A$5:$A$50,0)),"Check ID"))</f>
        <v/>
      </c>
      <c r="D184" s="29" t="str">
        <f aca="false">IF(B184="","",IFERROR(INDEX(Tenancies!$D$5:$D$50,MATCH(B184,Tenancies!$A$5:$A$50,0)),"Check ID"))</f>
        <v/>
      </c>
      <c r="E184" s="30"/>
      <c r="F184" s="31"/>
      <c r="G184" s="31"/>
      <c r="H184" s="28"/>
      <c r="I184" s="32" t="str">
        <f aca="false">IF(OR(B184="",E184=""),"",IF(SUMIFS($F$5:$F$304,$B$5:$B$304,B184,$E$5:$E$304,E184)&gt;=IFERROR(INDEX(Tenancies!$G$5:$G$50,MATCH(B184,Tenancies!$A$5:$A$50,0)),0),"Rent complete","Partial"))</f>
        <v/>
      </c>
      <c r="J184" s="28"/>
    </row>
    <row r="185" customFormat="false" ht="15" hidden="false" customHeight="false" outlineLevel="0" collapsed="false">
      <c r="A185" s="27"/>
      <c r="B185" s="28"/>
      <c r="C185" s="29" t="str">
        <f aca="false">IF(B185="","",IFERROR(INDEX(Tenancies!$B$5:$B$50,MATCH(B185,Tenancies!$A$5:$A$50,0)),"Check ID"))</f>
        <v/>
      </c>
      <c r="D185" s="29" t="str">
        <f aca="false">IF(B185="","",IFERROR(INDEX(Tenancies!$D$5:$D$50,MATCH(B185,Tenancies!$A$5:$A$50,0)),"Check ID"))</f>
        <v/>
      </c>
      <c r="E185" s="30"/>
      <c r="F185" s="31"/>
      <c r="G185" s="31"/>
      <c r="H185" s="28"/>
      <c r="I185" s="32" t="str">
        <f aca="false">IF(OR(B185="",E185=""),"",IF(SUMIFS($F$5:$F$304,$B$5:$B$304,B185,$E$5:$E$304,E185)&gt;=IFERROR(INDEX(Tenancies!$G$5:$G$50,MATCH(B185,Tenancies!$A$5:$A$50,0)),0),"Rent complete","Partial"))</f>
        <v/>
      </c>
      <c r="J185" s="28"/>
    </row>
    <row r="186" customFormat="false" ht="15" hidden="false" customHeight="false" outlineLevel="0" collapsed="false">
      <c r="A186" s="27"/>
      <c r="B186" s="28"/>
      <c r="C186" s="29" t="str">
        <f aca="false">IF(B186="","",IFERROR(INDEX(Tenancies!$B$5:$B$50,MATCH(B186,Tenancies!$A$5:$A$50,0)),"Check ID"))</f>
        <v/>
      </c>
      <c r="D186" s="29" t="str">
        <f aca="false">IF(B186="","",IFERROR(INDEX(Tenancies!$D$5:$D$50,MATCH(B186,Tenancies!$A$5:$A$50,0)),"Check ID"))</f>
        <v/>
      </c>
      <c r="E186" s="30"/>
      <c r="F186" s="31"/>
      <c r="G186" s="31"/>
      <c r="H186" s="28"/>
      <c r="I186" s="32" t="str">
        <f aca="false">IF(OR(B186="",E186=""),"",IF(SUMIFS($F$5:$F$304,$B$5:$B$304,B186,$E$5:$E$304,E186)&gt;=IFERROR(INDEX(Tenancies!$G$5:$G$50,MATCH(B186,Tenancies!$A$5:$A$50,0)),0),"Rent complete","Partial"))</f>
        <v/>
      </c>
      <c r="J186" s="28"/>
    </row>
    <row r="187" customFormat="false" ht="15" hidden="false" customHeight="false" outlineLevel="0" collapsed="false">
      <c r="A187" s="27"/>
      <c r="B187" s="28"/>
      <c r="C187" s="29" t="str">
        <f aca="false">IF(B187="","",IFERROR(INDEX(Tenancies!$B$5:$B$50,MATCH(B187,Tenancies!$A$5:$A$50,0)),"Check ID"))</f>
        <v/>
      </c>
      <c r="D187" s="29" t="str">
        <f aca="false">IF(B187="","",IFERROR(INDEX(Tenancies!$D$5:$D$50,MATCH(B187,Tenancies!$A$5:$A$50,0)),"Check ID"))</f>
        <v/>
      </c>
      <c r="E187" s="30"/>
      <c r="F187" s="31"/>
      <c r="G187" s="31"/>
      <c r="H187" s="28"/>
      <c r="I187" s="32" t="str">
        <f aca="false">IF(OR(B187="",E187=""),"",IF(SUMIFS($F$5:$F$304,$B$5:$B$304,B187,$E$5:$E$304,E187)&gt;=IFERROR(INDEX(Tenancies!$G$5:$G$50,MATCH(B187,Tenancies!$A$5:$A$50,0)),0),"Rent complete","Partial"))</f>
        <v/>
      </c>
      <c r="J187" s="28"/>
    </row>
    <row r="188" customFormat="false" ht="15" hidden="false" customHeight="false" outlineLevel="0" collapsed="false">
      <c r="A188" s="27"/>
      <c r="B188" s="28"/>
      <c r="C188" s="29" t="str">
        <f aca="false">IF(B188="","",IFERROR(INDEX(Tenancies!$B$5:$B$50,MATCH(B188,Tenancies!$A$5:$A$50,0)),"Check ID"))</f>
        <v/>
      </c>
      <c r="D188" s="29" t="str">
        <f aca="false">IF(B188="","",IFERROR(INDEX(Tenancies!$D$5:$D$50,MATCH(B188,Tenancies!$A$5:$A$50,0)),"Check ID"))</f>
        <v/>
      </c>
      <c r="E188" s="30"/>
      <c r="F188" s="31"/>
      <c r="G188" s="31"/>
      <c r="H188" s="28"/>
      <c r="I188" s="32" t="str">
        <f aca="false">IF(OR(B188="",E188=""),"",IF(SUMIFS($F$5:$F$304,$B$5:$B$304,B188,$E$5:$E$304,E188)&gt;=IFERROR(INDEX(Tenancies!$G$5:$G$50,MATCH(B188,Tenancies!$A$5:$A$50,0)),0),"Rent complete","Partial"))</f>
        <v/>
      </c>
      <c r="J188" s="28"/>
    </row>
    <row r="189" customFormat="false" ht="15" hidden="false" customHeight="false" outlineLevel="0" collapsed="false">
      <c r="A189" s="27"/>
      <c r="B189" s="28"/>
      <c r="C189" s="29" t="str">
        <f aca="false">IF(B189="","",IFERROR(INDEX(Tenancies!$B$5:$B$50,MATCH(B189,Tenancies!$A$5:$A$50,0)),"Check ID"))</f>
        <v/>
      </c>
      <c r="D189" s="29" t="str">
        <f aca="false">IF(B189="","",IFERROR(INDEX(Tenancies!$D$5:$D$50,MATCH(B189,Tenancies!$A$5:$A$50,0)),"Check ID"))</f>
        <v/>
      </c>
      <c r="E189" s="30"/>
      <c r="F189" s="31"/>
      <c r="G189" s="31"/>
      <c r="H189" s="28"/>
      <c r="I189" s="32" t="str">
        <f aca="false">IF(OR(B189="",E189=""),"",IF(SUMIFS($F$5:$F$304,$B$5:$B$304,B189,$E$5:$E$304,E189)&gt;=IFERROR(INDEX(Tenancies!$G$5:$G$50,MATCH(B189,Tenancies!$A$5:$A$50,0)),0),"Rent complete","Partial"))</f>
        <v/>
      </c>
      <c r="J189" s="28"/>
    </row>
    <row r="190" customFormat="false" ht="15" hidden="false" customHeight="false" outlineLevel="0" collapsed="false">
      <c r="A190" s="27"/>
      <c r="B190" s="28"/>
      <c r="C190" s="29" t="str">
        <f aca="false">IF(B190="","",IFERROR(INDEX(Tenancies!$B$5:$B$50,MATCH(B190,Tenancies!$A$5:$A$50,0)),"Check ID"))</f>
        <v/>
      </c>
      <c r="D190" s="29" t="str">
        <f aca="false">IF(B190="","",IFERROR(INDEX(Tenancies!$D$5:$D$50,MATCH(B190,Tenancies!$A$5:$A$50,0)),"Check ID"))</f>
        <v/>
      </c>
      <c r="E190" s="30"/>
      <c r="F190" s="31"/>
      <c r="G190" s="31"/>
      <c r="H190" s="28"/>
      <c r="I190" s="32" t="str">
        <f aca="false">IF(OR(B190="",E190=""),"",IF(SUMIFS($F$5:$F$304,$B$5:$B$304,B190,$E$5:$E$304,E190)&gt;=IFERROR(INDEX(Tenancies!$G$5:$G$50,MATCH(B190,Tenancies!$A$5:$A$50,0)),0),"Rent complete","Partial"))</f>
        <v/>
      </c>
      <c r="J190" s="28"/>
    </row>
    <row r="191" customFormat="false" ht="15" hidden="false" customHeight="false" outlineLevel="0" collapsed="false">
      <c r="A191" s="27"/>
      <c r="B191" s="28"/>
      <c r="C191" s="29" t="str">
        <f aca="false">IF(B191="","",IFERROR(INDEX(Tenancies!$B$5:$B$50,MATCH(B191,Tenancies!$A$5:$A$50,0)),"Check ID"))</f>
        <v/>
      </c>
      <c r="D191" s="29" t="str">
        <f aca="false">IF(B191="","",IFERROR(INDEX(Tenancies!$D$5:$D$50,MATCH(B191,Tenancies!$A$5:$A$50,0)),"Check ID"))</f>
        <v/>
      </c>
      <c r="E191" s="30"/>
      <c r="F191" s="31"/>
      <c r="G191" s="31"/>
      <c r="H191" s="28"/>
      <c r="I191" s="32" t="str">
        <f aca="false">IF(OR(B191="",E191=""),"",IF(SUMIFS($F$5:$F$304,$B$5:$B$304,B191,$E$5:$E$304,E191)&gt;=IFERROR(INDEX(Tenancies!$G$5:$G$50,MATCH(B191,Tenancies!$A$5:$A$50,0)),0),"Rent complete","Partial"))</f>
        <v/>
      </c>
      <c r="J191" s="28"/>
    </row>
    <row r="192" customFormat="false" ht="15" hidden="false" customHeight="false" outlineLevel="0" collapsed="false">
      <c r="A192" s="27"/>
      <c r="B192" s="28"/>
      <c r="C192" s="29" t="str">
        <f aca="false">IF(B192="","",IFERROR(INDEX(Tenancies!$B$5:$B$50,MATCH(B192,Tenancies!$A$5:$A$50,0)),"Check ID"))</f>
        <v/>
      </c>
      <c r="D192" s="29" t="str">
        <f aca="false">IF(B192="","",IFERROR(INDEX(Tenancies!$D$5:$D$50,MATCH(B192,Tenancies!$A$5:$A$50,0)),"Check ID"))</f>
        <v/>
      </c>
      <c r="E192" s="30"/>
      <c r="F192" s="31"/>
      <c r="G192" s="31"/>
      <c r="H192" s="28"/>
      <c r="I192" s="32" t="str">
        <f aca="false">IF(OR(B192="",E192=""),"",IF(SUMIFS($F$5:$F$304,$B$5:$B$304,B192,$E$5:$E$304,E192)&gt;=IFERROR(INDEX(Tenancies!$G$5:$G$50,MATCH(B192,Tenancies!$A$5:$A$50,0)),0),"Rent complete","Partial"))</f>
        <v/>
      </c>
      <c r="J192" s="28"/>
    </row>
    <row r="193" customFormat="false" ht="15" hidden="false" customHeight="false" outlineLevel="0" collapsed="false">
      <c r="A193" s="27"/>
      <c r="B193" s="28"/>
      <c r="C193" s="29" t="str">
        <f aca="false">IF(B193="","",IFERROR(INDEX(Tenancies!$B$5:$B$50,MATCH(B193,Tenancies!$A$5:$A$50,0)),"Check ID"))</f>
        <v/>
      </c>
      <c r="D193" s="29" t="str">
        <f aca="false">IF(B193="","",IFERROR(INDEX(Tenancies!$D$5:$D$50,MATCH(B193,Tenancies!$A$5:$A$50,0)),"Check ID"))</f>
        <v/>
      </c>
      <c r="E193" s="30"/>
      <c r="F193" s="31"/>
      <c r="G193" s="31"/>
      <c r="H193" s="28"/>
      <c r="I193" s="32" t="str">
        <f aca="false">IF(OR(B193="",E193=""),"",IF(SUMIFS($F$5:$F$304,$B$5:$B$304,B193,$E$5:$E$304,E193)&gt;=IFERROR(INDEX(Tenancies!$G$5:$G$50,MATCH(B193,Tenancies!$A$5:$A$50,0)),0),"Rent complete","Partial"))</f>
        <v/>
      </c>
      <c r="J193" s="28"/>
    </row>
    <row r="194" customFormat="false" ht="15" hidden="false" customHeight="false" outlineLevel="0" collapsed="false">
      <c r="A194" s="27"/>
      <c r="B194" s="28"/>
      <c r="C194" s="29" t="str">
        <f aca="false">IF(B194="","",IFERROR(INDEX(Tenancies!$B$5:$B$50,MATCH(B194,Tenancies!$A$5:$A$50,0)),"Check ID"))</f>
        <v/>
      </c>
      <c r="D194" s="29" t="str">
        <f aca="false">IF(B194="","",IFERROR(INDEX(Tenancies!$D$5:$D$50,MATCH(B194,Tenancies!$A$5:$A$50,0)),"Check ID"))</f>
        <v/>
      </c>
      <c r="E194" s="30"/>
      <c r="F194" s="31"/>
      <c r="G194" s="31"/>
      <c r="H194" s="28"/>
      <c r="I194" s="32" t="str">
        <f aca="false">IF(OR(B194="",E194=""),"",IF(SUMIFS($F$5:$F$304,$B$5:$B$304,B194,$E$5:$E$304,E194)&gt;=IFERROR(INDEX(Tenancies!$G$5:$G$50,MATCH(B194,Tenancies!$A$5:$A$50,0)),0),"Rent complete","Partial"))</f>
        <v/>
      </c>
      <c r="J194" s="28"/>
    </row>
    <row r="195" customFormat="false" ht="15" hidden="false" customHeight="false" outlineLevel="0" collapsed="false">
      <c r="A195" s="27"/>
      <c r="B195" s="28"/>
      <c r="C195" s="29" t="str">
        <f aca="false">IF(B195="","",IFERROR(INDEX(Tenancies!$B$5:$B$50,MATCH(B195,Tenancies!$A$5:$A$50,0)),"Check ID"))</f>
        <v/>
      </c>
      <c r="D195" s="29" t="str">
        <f aca="false">IF(B195="","",IFERROR(INDEX(Tenancies!$D$5:$D$50,MATCH(B195,Tenancies!$A$5:$A$50,0)),"Check ID"))</f>
        <v/>
      </c>
      <c r="E195" s="30"/>
      <c r="F195" s="31"/>
      <c r="G195" s="31"/>
      <c r="H195" s="28"/>
      <c r="I195" s="32" t="str">
        <f aca="false">IF(OR(B195="",E195=""),"",IF(SUMIFS($F$5:$F$304,$B$5:$B$304,B195,$E$5:$E$304,E195)&gt;=IFERROR(INDEX(Tenancies!$G$5:$G$50,MATCH(B195,Tenancies!$A$5:$A$50,0)),0),"Rent complete","Partial"))</f>
        <v/>
      </c>
      <c r="J195" s="28"/>
    </row>
    <row r="196" customFormat="false" ht="15" hidden="false" customHeight="false" outlineLevel="0" collapsed="false">
      <c r="A196" s="27"/>
      <c r="B196" s="28"/>
      <c r="C196" s="29" t="str">
        <f aca="false">IF(B196="","",IFERROR(INDEX(Tenancies!$B$5:$B$50,MATCH(B196,Tenancies!$A$5:$A$50,0)),"Check ID"))</f>
        <v/>
      </c>
      <c r="D196" s="29" t="str">
        <f aca="false">IF(B196="","",IFERROR(INDEX(Tenancies!$D$5:$D$50,MATCH(B196,Tenancies!$A$5:$A$50,0)),"Check ID"))</f>
        <v/>
      </c>
      <c r="E196" s="30"/>
      <c r="F196" s="31"/>
      <c r="G196" s="31"/>
      <c r="H196" s="28"/>
      <c r="I196" s="32" t="str">
        <f aca="false">IF(OR(B196="",E196=""),"",IF(SUMIFS($F$5:$F$304,$B$5:$B$304,B196,$E$5:$E$304,E196)&gt;=IFERROR(INDEX(Tenancies!$G$5:$G$50,MATCH(B196,Tenancies!$A$5:$A$50,0)),0),"Rent complete","Partial"))</f>
        <v/>
      </c>
      <c r="J196" s="28"/>
    </row>
    <row r="197" customFormat="false" ht="15" hidden="false" customHeight="false" outlineLevel="0" collapsed="false">
      <c r="A197" s="27"/>
      <c r="B197" s="28"/>
      <c r="C197" s="29" t="str">
        <f aca="false">IF(B197="","",IFERROR(INDEX(Tenancies!$B$5:$B$50,MATCH(B197,Tenancies!$A$5:$A$50,0)),"Check ID"))</f>
        <v/>
      </c>
      <c r="D197" s="29" t="str">
        <f aca="false">IF(B197="","",IFERROR(INDEX(Tenancies!$D$5:$D$50,MATCH(B197,Tenancies!$A$5:$A$50,0)),"Check ID"))</f>
        <v/>
      </c>
      <c r="E197" s="30"/>
      <c r="F197" s="31"/>
      <c r="G197" s="31"/>
      <c r="H197" s="28"/>
      <c r="I197" s="32" t="str">
        <f aca="false">IF(OR(B197="",E197=""),"",IF(SUMIFS($F$5:$F$304,$B$5:$B$304,B197,$E$5:$E$304,E197)&gt;=IFERROR(INDEX(Tenancies!$G$5:$G$50,MATCH(B197,Tenancies!$A$5:$A$50,0)),0),"Rent complete","Partial"))</f>
        <v/>
      </c>
      <c r="J197" s="28"/>
    </row>
    <row r="198" customFormat="false" ht="15" hidden="false" customHeight="false" outlineLevel="0" collapsed="false">
      <c r="A198" s="27"/>
      <c r="B198" s="28"/>
      <c r="C198" s="29" t="str">
        <f aca="false">IF(B198="","",IFERROR(INDEX(Tenancies!$B$5:$B$50,MATCH(B198,Tenancies!$A$5:$A$50,0)),"Check ID"))</f>
        <v/>
      </c>
      <c r="D198" s="29" t="str">
        <f aca="false">IF(B198="","",IFERROR(INDEX(Tenancies!$D$5:$D$50,MATCH(B198,Tenancies!$A$5:$A$50,0)),"Check ID"))</f>
        <v/>
      </c>
      <c r="E198" s="30"/>
      <c r="F198" s="31"/>
      <c r="G198" s="31"/>
      <c r="H198" s="28"/>
      <c r="I198" s="32" t="str">
        <f aca="false">IF(OR(B198="",E198=""),"",IF(SUMIFS($F$5:$F$304,$B$5:$B$304,B198,$E$5:$E$304,E198)&gt;=IFERROR(INDEX(Tenancies!$G$5:$G$50,MATCH(B198,Tenancies!$A$5:$A$50,0)),0),"Rent complete","Partial"))</f>
        <v/>
      </c>
      <c r="J198" s="28"/>
    </row>
    <row r="199" customFormat="false" ht="15" hidden="false" customHeight="false" outlineLevel="0" collapsed="false">
      <c r="A199" s="27"/>
      <c r="B199" s="28"/>
      <c r="C199" s="29" t="str">
        <f aca="false">IF(B199="","",IFERROR(INDEX(Tenancies!$B$5:$B$50,MATCH(B199,Tenancies!$A$5:$A$50,0)),"Check ID"))</f>
        <v/>
      </c>
      <c r="D199" s="29" t="str">
        <f aca="false">IF(B199="","",IFERROR(INDEX(Tenancies!$D$5:$D$50,MATCH(B199,Tenancies!$A$5:$A$50,0)),"Check ID"))</f>
        <v/>
      </c>
      <c r="E199" s="30"/>
      <c r="F199" s="31"/>
      <c r="G199" s="31"/>
      <c r="H199" s="28"/>
      <c r="I199" s="32" t="str">
        <f aca="false">IF(OR(B199="",E199=""),"",IF(SUMIFS($F$5:$F$304,$B$5:$B$304,B199,$E$5:$E$304,E199)&gt;=IFERROR(INDEX(Tenancies!$G$5:$G$50,MATCH(B199,Tenancies!$A$5:$A$50,0)),0),"Rent complete","Partial"))</f>
        <v/>
      </c>
      <c r="J199" s="28"/>
    </row>
    <row r="200" customFormat="false" ht="15" hidden="false" customHeight="false" outlineLevel="0" collapsed="false">
      <c r="A200" s="27"/>
      <c r="B200" s="28"/>
      <c r="C200" s="29" t="str">
        <f aca="false">IF(B200="","",IFERROR(INDEX(Tenancies!$B$5:$B$50,MATCH(B200,Tenancies!$A$5:$A$50,0)),"Check ID"))</f>
        <v/>
      </c>
      <c r="D200" s="29" t="str">
        <f aca="false">IF(B200="","",IFERROR(INDEX(Tenancies!$D$5:$D$50,MATCH(B200,Tenancies!$A$5:$A$50,0)),"Check ID"))</f>
        <v/>
      </c>
      <c r="E200" s="30"/>
      <c r="F200" s="31"/>
      <c r="G200" s="31"/>
      <c r="H200" s="28"/>
      <c r="I200" s="32" t="str">
        <f aca="false">IF(OR(B200="",E200=""),"",IF(SUMIFS($F$5:$F$304,$B$5:$B$304,B200,$E$5:$E$304,E200)&gt;=IFERROR(INDEX(Tenancies!$G$5:$G$50,MATCH(B200,Tenancies!$A$5:$A$50,0)),0),"Rent complete","Partial"))</f>
        <v/>
      </c>
      <c r="J200" s="28"/>
    </row>
    <row r="201" customFormat="false" ht="15" hidden="false" customHeight="false" outlineLevel="0" collapsed="false">
      <c r="A201" s="27"/>
      <c r="B201" s="28"/>
      <c r="C201" s="29" t="str">
        <f aca="false">IF(B201="","",IFERROR(INDEX(Tenancies!$B$5:$B$50,MATCH(B201,Tenancies!$A$5:$A$50,0)),"Check ID"))</f>
        <v/>
      </c>
      <c r="D201" s="29" t="str">
        <f aca="false">IF(B201="","",IFERROR(INDEX(Tenancies!$D$5:$D$50,MATCH(B201,Tenancies!$A$5:$A$50,0)),"Check ID"))</f>
        <v/>
      </c>
      <c r="E201" s="30"/>
      <c r="F201" s="31"/>
      <c r="G201" s="31"/>
      <c r="H201" s="28"/>
      <c r="I201" s="32" t="str">
        <f aca="false">IF(OR(B201="",E201=""),"",IF(SUMIFS($F$5:$F$304,$B$5:$B$304,B201,$E$5:$E$304,E201)&gt;=IFERROR(INDEX(Tenancies!$G$5:$G$50,MATCH(B201,Tenancies!$A$5:$A$50,0)),0),"Rent complete","Partial"))</f>
        <v/>
      </c>
      <c r="J201" s="28"/>
    </row>
    <row r="202" customFormat="false" ht="15" hidden="false" customHeight="false" outlineLevel="0" collapsed="false">
      <c r="A202" s="27"/>
      <c r="B202" s="28"/>
      <c r="C202" s="29" t="str">
        <f aca="false">IF(B202="","",IFERROR(INDEX(Tenancies!$B$5:$B$50,MATCH(B202,Tenancies!$A$5:$A$50,0)),"Check ID"))</f>
        <v/>
      </c>
      <c r="D202" s="29" t="str">
        <f aca="false">IF(B202="","",IFERROR(INDEX(Tenancies!$D$5:$D$50,MATCH(B202,Tenancies!$A$5:$A$50,0)),"Check ID"))</f>
        <v/>
      </c>
      <c r="E202" s="30"/>
      <c r="F202" s="31"/>
      <c r="G202" s="31"/>
      <c r="H202" s="28"/>
      <c r="I202" s="32" t="str">
        <f aca="false">IF(OR(B202="",E202=""),"",IF(SUMIFS($F$5:$F$304,$B$5:$B$304,B202,$E$5:$E$304,E202)&gt;=IFERROR(INDEX(Tenancies!$G$5:$G$50,MATCH(B202,Tenancies!$A$5:$A$50,0)),0),"Rent complete","Partial"))</f>
        <v/>
      </c>
      <c r="J202" s="28"/>
    </row>
    <row r="203" customFormat="false" ht="15" hidden="false" customHeight="false" outlineLevel="0" collapsed="false">
      <c r="A203" s="27"/>
      <c r="B203" s="28"/>
      <c r="C203" s="29" t="str">
        <f aca="false">IF(B203="","",IFERROR(INDEX(Tenancies!$B$5:$B$50,MATCH(B203,Tenancies!$A$5:$A$50,0)),"Check ID"))</f>
        <v/>
      </c>
      <c r="D203" s="29" t="str">
        <f aca="false">IF(B203="","",IFERROR(INDEX(Tenancies!$D$5:$D$50,MATCH(B203,Tenancies!$A$5:$A$50,0)),"Check ID"))</f>
        <v/>
      </c>
      <c r="E203" s="30"/>
      <c r="F203" s="31"/>
      <c r="G203" s="31"/>
      <c r="H203" s="28"/>
      <c r="I203" s="32" t="str">
        <f aca="false">IF(OR(B203="",E203=""),"",IF(SUMIFS($F$5:$F$304,$B$5:$B$304,B203,$E$5:$E$304,E203)&gt;=IFERROR(INDEX(Tenancies!$G$5:$G$50,MATCH(B203,Tenancies!$A$5:$A$50,0)),0),"Rent complete","Partial"))</f>
        <v/>
      </c>
      <c r="J203" s="28"/>
    </row>
    <row r="204" customFormat="false" ht="15" hidden="false" customHeight="false" outlineLevel="0" collapsed="false">
      <c r="A204" s="27"/>
      <c r="B204" s="28"/>
      <c r="C204" s="29" t="str">
        <f aca="false">IF(B204="","",IFERROR(INDEX(Tenancies!$B$5:$B$50,MATCH(B204,Tenancies!$A$5:$A$50,0)),"Check ID"))</f>
        <v/>
      </c>
      <c r="D204" s="29" t="str">
        <f aca="false">IF(B204="","",IFERROR(INDEX(Tenancies!$D$5:$D$50,MATCH(B204,Tenancies!$A$5:$A$50,0)),"Check ID"))</f>
        <v/>
      </c>
      <c r="E204" s="30"/>
      <c r="F204" s="31"/>
      <c r="G204" s="31"/>
      <c r="H204" s="28"/>
      <c r="I204" s="32" t="str">
        <f aca="false">IF(OR(B204="",E204=""),"",IF(SUMIFS($F$5:$F$304,$B$5:$B$304,B204,$E$5:$E$304,E204)&gt;=IFERROR(INDEX(Tenancies!$G$5:$G$50,MATCH(B204,Tenancies!$A$5:$A$50,0)),0),"Rent complete","Partial"))</f>
        <v/>
      </c>
      <c r="J204" s="28"/>
    </row>
    <row r="205" customFormat="false" ht="15" hidden="false" customHeight="false" outlineLevel="0" collapsed="false">
      <c r="A205" s="27"/>
      <c r="B205" s="28"/>
      <c r="C205" s="29" t="str">
        <f aca="false">IF(B205="","",IFERROR(INDEX(Tenancies!$B$5:$B$50,MATCH(B205,Tenancies!$A$5:$A$50,0)),"Check ID"))</f>
        <v/>
      </c>
      <c r="D205" s="29" t="str">
        <f aca="false">IF(B205="","",IFERROR(INDEX(Tenancies!$D$5:$D$50,MATCH(B205,Tenancies!$A$5:$A$50,0)),"Check ID"))</f>
        <v/>
      </c>
      <c r="E205" s="30"/>
      <c r="F205" s="31"/>
      <c r="G205" s="31"/>
      <c r="H205" s="28"/>
      <c r="I205" s="32" t="str">
        <f aca="false">IF(OR(B205="",E205=""),"",IF(SUMIFS($F$5:$F$304,$B$5:$B$304,B205,$E$5:$E$304,E205)&gt;=IFERROR(INDEX(Tenancies!$G$5:$G$50,MATCH(B205,Tenancies!$A$5:$A$50,0)),0),"Rent complete","Partial"))</f>
        <v/>
      </c>
      <c r="J205" s="28"/>
    </row>
    <row r="206" customFormat="false" ht="15" hidden="false" customHeight="false" outlineLevel="0" collapsed="false">
      <c r="A206" s="27"/>
      <c r="B206" s="28"/>
      <c r="C206" s="29" t="str">
        <f aca="false">IF(B206="","",IFERROR(INDEX(Tenancies!$B$5:$B$50,MATCH(B206,Tenancies!$A$5:$A$50,0)),"Check ID"))</f>
        <v/>
      </c>
      <c r="D206" s="29" t="str">
        <f aca="false">IF(B206="","",IFERROR(INDEX(Tenancies!$D$5:$D$50,MATCH(B206,Tenancies!$A$5:$A$50,0)),"Check ID"))</f>
        <v/>
      </c>
      <c r="E206" s="30"/>
      <c r="F206" s="31"/>
      <c r="G206" s="31"/>
      <c r="H206" s="28"/>
      <c r="I206" s="32" t="str">
        <f aca="false">IF(OR(B206="",E206=""),"",IF(SUMIFS($F$5:$F$304,$B$5:$B$304,B206,$E$5:$E$304,E206)&gt;=IFERROR(INDEX(Tenancies!$G$5:$G$50,MATCH(B206,Tenancies!$A$5:$A$50,0)),0),"Rent complete","Partial"))</f>
        <v/>
      </c>
      <c r="J206" s="28"/>
    </row>
    <row r="207" customFormat="false" ht="15" hidden="false" customHeight="false" outlineLevel="0" collapsed="false">
      <c r="A207" s="27"/>
      <c r="B207" s="28"/>
      <c r="C207" s="29" t="str">
        <f aca="false">IF(B207="","",IFERROR(INDEX(Tenancies!$B$5:$B$50,MATCH(B207,Tenancies!$A$5:$A$50,0)),"Check ID"))</f>
        <v/>
      </c>
      <c r="D207" s="29" t="str">
        <f aca="false">IF(B207="","",IFERROR(INDEX(Tenancies!$D$5:$D$50,MATCH(B207,Tenancies!$A$5:$A$50,0)),"Check ID"))</f>
        <v/>
      </c>
      <c r="E207" s="30"/>
      <c r="F207" s="31"/>
      <c r="G207" s="31"/>
      <c r="H207" s="28"/>
      <c r="I207" s="32" t="str">
        <f aca="false">IF(OR(B207="",E207=""),"",IF(SUMIFS($F$5:$F$304,$B$5:$B$304,B207,$E$5:$E$304,E207)&gt;=IFERROR(INDEX(Tenancies!$G$5:$G$50,MATCH(B207,Tenancies!$A$5:$A$50,0)),0),"Rent complete","Partial"))</f>
        <v/>
      </c>
      <c r="J207" s="28"/>
    </row>
    <row r="208" customFormat="false" ht="15" hidden="false" customHeight="false" outlineLevel="0" collapsed="false">
      <c r="A208" s="27"/>
      <c r="B208" s="28"/>
      <c r="C208" s="29" t="str">
        <f aca="false">IF(B208="","",IFERROR(INDEX(Tenancies!$B$5:$B$50,MATCH(B208,Tenancies!$A$5:$A$50,0)),"Check ID"))</f>
        <v/>
      </c>
      <c r="D208" s="29" t="str">
        <f aca="false">IF(B208="","",IFERROR(INDEX(Tenancies!$D$5:$D$50,MATCH(B208,Tenancies!$A$5:$A$50,0)),"Check ID"))</f>
        <v/>
      </c>
      <c r="E208" s="30"/>
      <c r="F208" s="31"/>
      <c r="G208" s="31"/>
      <c r="H208" s="28"/>
      <c r="I208" s="32" t="str">
        <f aca="false">IF(OR(B208="",E208=""),"",IF(SUMIFS($F$5:$F$304,$B$5:$B$304,B208,$E$5:$E$304,E208)&gt;=IFERROR(INDEX(Tenancies!$G$5:$G$50,MATCH(B208,Tenancies!$A$5:$A$50,0)),0),"Rent complete","Partial"))</f>
        <v/>
      </c>
      <c r="J208" s="28"/>
    </row>
    <row r="209" customFormat="false" ht="15" hidden="false" customHeight="false" outlineLevel="0" collapsed="false">
      <c r="A209" s="27"/>
      <c r="B209" s="28"/>
      <c r="C209" s="29" t="str">
        <f aca="false">IF(B209="","",IFERROR(INDEX(Tenancies!$B$5:$B$50,MATCH(B209,Tenancies!$A$5:$A$50,0)),"Check ID"))</f>
        <v/>
      </c>
      <c r="D209" s="29" t="str">
        <f aca="false">IF(B209="","",IFERROR(INDEX(Tenancies!$D$5:$D$50,MATCH(B209,Tenancies!$A$5:$A$50,0)),"Check ID"))</f>
        <v/>
      </c>
      <c r="E209" s="30"/>
      <c r="F209" s="31"/>
      <c r="G209" s="31"/>
      <c r="H209" s="28"/>
      <c r="I209" s="32" t="str">
        <f aca="false">IF(OR(B209="",E209=""),"",IF(SUMIFS($F$5:$F$304,$B$5:$B$304,B209,$E$5:$E$304,E209)&gt;=IFERROR(INDEX(Tenancies!$G$5:$G$50,MATCH(B209,Tenancies!$A$5:$A$50,0)),0),"Rent complete","Partial"))</f>
        <v/>
      </c>
      <c r="J209" s="28"/>
    </row>
    <row r="210" customFormat="false" ht="15" hidden="false" customHeight="false" outlineLevel="0" collapsed="false">
      <c r="A210" s="27"/>
      <c r="B210" s="28"/>
      <c r="C210" s="29" t="str">
        <f aca="false">IF(B210="","",IFERROR(INDEX(Tenancies!$B$5:$B$50,MATCH(B210,Tenancies!$A$5:$A$50,0)),"Check ID"))</f>
        <v/>
      </c>
      <c r="D210" s="29" t="str">
        <f aca="false">IF(B210="","",IFERROR(INDEX(Tenancies!$D$5:$D$50,MATCH(B210,Tenancies!$A$5:$A$50,0)),"Check ID"))</f>
        <v/>
      </c>
      <c r="E210" s="30"/>
      <c r="F210" s="31"/>
      <c r="G210" s="31"/>
      <c r="H210" s="28"/>
      <c r="I210" s="32" t="str">
        <f aca="false">IF(OR(B210="",E210=""),"",IF(SUMIFS($F$5:$F$304,$B$5:$B$304,B210,$E$5:$E$304,E210)&gt;=IFERROR(INDEX(Tenancies!$G$5:$G$50,MATCH(B210,Tenancies!$A$5:$A$50,0)),0),"Rent complete","Partial"))</f>
        <v/>
      </c>
      <c r="J210" s="28"/>
    </row>
    <row r="211" customFormat="false" ht="15" hidden="false" customHeight="false" outlineLevel="0" collapsed="false">
      <c r="A211" s="27"/>
      <c r="B211" s="28"/>
      <c r="C211" s="29" t="str">
        <f aca="false">IF(B211="","",IFERROR(INDEX(Tenancies!$B$5:$B$50,MATCH(B211,Tenancies!$A$5:$A$50,0)),"Check ID"))</f>
        <v/>
      </c>
      <c r="D211" s="29" t="str">
        <f aca="false">IF(B211="","",IFERROR(INDEX(Tenancies!$D$5:$D$50,MATCH(B211,Tenancies!$A$5:$A$50,0)),"Check ID"))</f>
        <v/>
      </c>
      <c r="E211" s="30"/>
      <c r="F211" s="31"/>
      <c r="G211" s="31"/>
      <c r="H211" s="28"/>
      <c r="I211" s="32" t="str">
        <f aca="false">IF(OR(B211="",E211=""),"",IF(SUMIFS($F$5:$F$304,$B$5:$B$304,B211,$E$5:$E$304,E211)&gt;=IFERROR(INDEX(Tenancies!$G$5:$G$50,MATCH(B211,Tenancies!$A$5:$A$50,0)),0),"Rent complete","Partial"))</f>
        <v/>
      </c>
      <c r="J211" s="28"/>
    </row>
    <row r="212" customFormat="false" ht="15" hidden="false" customHeight="false" outlineLevel="0" collapsed="false">
      <c r="A212" s="27"/>
      <c r="B212" s="28"/>
      <c r="C212" s="29" t="str">
        <f aca="false">IF(B212="","",IFERROR(INDEX(Tenancies!$B$5:$B$50,MATCH(B212,Tenancies!$A$5:$A$50,0)),"Check ID"))</f>
        <v/>
      </c>
      <c r="D212" s="29" t="str">
        <f aca="false">IF(B212="","",IFERROR(INDEX(Tenancies!$D$5:$D$50,MATCH(B212,Tenancies!$A$5:$A$50,0)),"Check ID"))</f>
        <v/>
      </c>
      <c r="E212" s="30"/>
      <c r="F212" s="31"/>
      <c r="G212" s="31"/>
      <c r="H212" s="28"/>
      <c r="I212" s="32" t="str">
        <f aca="false">IF(OR(B212="",E212=""),"",IF(SUMIFS($F$5:$F$304,$B$5:$B$304,B212,$E$5:$E$304,E212)&gt;=IFERROR(INDEX(Tenancies!$G$5:$G$50,MATCH(B212,Tenancies!$A$5:$A$50,0)),0),"Rent complete","Partial"))</f>
        <v/>
      </c>
      <c r="J212" s="28"/>
    </row>
    <row r="213" customFormat="false" ht="15" hidden="false" customHeight="false" outlineLevel="0" collapsed="false">
      <c r="A213" s="27"/>
      <c r="B213" s="28"/>
      <c r="C213" s="29" t="str">
        <f aca="false">IF(B213="","",IFERROR(INDEX(Tenancies!$B$5:$B$50,MATCH(B213,Tenancies!$A$5:$A$50,0)),"Check ID"))</f>
        <v/>
      </c>
      <c r="D213" s="29" t="str">
        <f aca="false">IF(B213="","",IFERROR(INDEX(Tenancies!$D$5:$D$50,MATCH(B213,Tenancies!$A$5:$A$50,0)),"Check ID"))</f>
        <v/>
      </c>
      <c r="E213" s="30"/>
      <c r="F213" s="31"/>
      <c r="G213" s="31"/>
      <c r="H213" s="28"/>
      <c r="I213" s="32" t="str">
        <f aca="false">IF(OR(B213="",E213=""),"",IF(SUMIFS($F$5:$F$304,$B$5:$B$304,B213,$E$5:$E$304,E213)&gt;=IFERROR(INDEX(Tenancies!$G$5:$G$50,MATCH(B213,Tenancies!$A$5:$A$50,0)),0),"Rent complete","Partial"))</f>
        <v/>
      </c>
      <c r="J213" s="28"/>
    </row>
    <row r="214" customFormat="false" ht="15" hidden="false" customHeight="false" outlineLevel="0" collapsed="false">
      <c r="A214" s="27"/>
      <c r="B214" s="28"/>
      <c r="C214" s="29" t="str">
        <f aca="false">IF(B214="","",IFERROR(INDEX(Tenancies!$B$5:$B$50,MATCH(B214,Tenancies!$A$5:$A$50,0)),"Check ID"))</f>
        <v/>
      </c>
      <c r="D214" s="29" t="str">
        <f aca="false">IF(B214="","",IFERROR(INDEX(Tenancies!$D$5:$D$50,MATCH(B214,Tenancies!$A$5:$A$50,0)),"Check ID"))</f>
        <v/>
      </c>
      <c r="E214" s="30"/>
      <c r="F214" s="31"/>
      <c r="G214" s="31"/>
      <c r="H214" s="28"/>
      <c r="I214" s="32" t="str">
        <f aca="false">IF(OR(B214="",E214=""),"",IF(SUMIFS($F$5:$F$304,$B$5:$B$304,B214,$E$5:$E$304,E214)&gt;=IFERROR(INDEX(Tenancies!$G$5:$G$50,MATCH(B214,Tenancies!$A$5:$A$50,0)),0),"Rent complete","Partial"))</f>
        <v/>
      </c>
      <c r="J214" s="28"/>
    </row>
    <row r="215" customFormat="false" ht="15" hidden="false" customHeight="false" outlineLevel="0" collapsed="false">
      <c r="A215" s="27"/>
      <c r="B215" s="28"/>
      <c r="C215" s="29" t="str">
        <f aca="false">IF(B215="","",IFERROR(INDEX(Tenancies!$B$5:$B$50,MATCH(B215,Tenancies!$A$5:$A$50,0)),"Check ID"))</f>
        <v/>
      </c>
      <c r="D215" s="29" t="str">
        <f aca="false">IF(B215="","",IFERROR(INDEX(Tenancies!$D$5:$D$50,MATCH(B215,Tenancies!$A$5:$A$50,0)),"Check ID"))</f>
        <v/>
      </c>
      <c r="E215" s="30"/>
      <c r="F215" s="31"/>
      <c r="G215" s="31"/>
      <c r="H215" s="28"/>
      <c r="I215" s="32" t="str">
        <f aca="false">IF(OR(B215="",E215=""),"",IF(SUMIFS($F$5:$F$304,$B$5:$B$304,B215,$E$5:$E$304,E215)&gt;=IFERROR(INDEX(Tenancies!$G$5:$G$50,MATCH(B215,Tenancies!$A$5:$A$50,0)),0),"Rent complete","Partial"))</f>
        <v/>
      </c>
      <c r="J215" s="28"/>
    </row>
    <row r="216" customFormat="false" ht="15" hidden="false" customHeight="false" outlineLevel="0" collapsed="false">
      <c r="A216" s="27"/>
      <c r="B216" s="28"/>
      <c r="C216" s="29" t="str">
        <f aca="false">IF(B216="","",IFERROR(INDEX(Tenancies!$B$5:$B$50,MATCH(B216,Tenancies!$A$5:$A$50,0)),"Check ID"))</f>
        <v/>
      </c>
      <c r="D216" s="29" t="str">
        <f aca="false">IF(B216="","",IFERROR(INDEX(Tenancies!$D$5:$D$50,MATCH(B216,Tenancies!$A$5:$A$50,0)),"Check ID"))</f>
        <v/>
      </c>
      <c r="E216" s="30"/>
      <c r="F216" s="31"/>
      <c r="G216" s="31"/>
      <c r="H216" s="28"/>
      <c r="I216" s="32" t="str">
        <f aca="false">IF(OR(B216="",E216=""),"",IF(SUMIFS($F$5:$F$304,$B$5:$B$304,B216,$E$5:$E$304,E216)&gt;=IFERROR(INDEX(Tenancies!$G$5:$G$50,MATCH(B216,Tenancies!$A$5:$A$50,0)),0),"Rent complete","Partial"))</f>
        <v/>
      </c>
      <c r="J216" s="28"/>
    </row>
    <row r="217" customFormat="false" ht="15" hidden="false" customHeight="false" outlineLevel="0" collapsed="false">
      <c r="A217" s="27"/>
      <c r="B217" s="28"/>
      <c r="C217" s="29" t="str">
        <f aca="false">IF(B217="","",IFERROR(INDEX(Tenancies!$B$5:$B$50,MATCH(B217,Tenancies!$A$5:$A$50,0)),"Check ID"))</f>
        <v/>
      </c>
      <c r="D217" s="29" t="str">
        <f aca="false">IF(B217="","",IFERROR(INDEX(Tenancies!$D$5:$D$50,MATCH(B217,Tenancies!$A$5:$A$50,0)),"Check ID"))</f>
        <v/>
      </c>
      <c r="E217" s="30"/>
      <c r="F217" s="31"/>
      <c r="G217" s="31"/>
      <c r="H217" s="28"/>
      <c r="I217" s="32" t="str">
        <f aca="false">IF(OR(B217="",E217=""),"",IF(SUMIFS($F$5:$F$304,$B$5:$B$304,B217,$E$5:$E$304,E217)&gt;=IFERROR(INDEX(Tenancies!$G$5:$G$50,MATCH(B217,Tenancies!$A$5:$A$50,0)),0),"Rent complete","Partial"))</f>
        <v/>
      </c>
      <c r="J217" s="28"/>
    </row>
    <row r="218" customFormat="false" ht="15" hidden="false" customHeight="false" outlineLevel="0" collapsed="false">
      <c r="A218" s="27"/>
      <c r="B218" s="28"/>
      <c r="C218" s="29" t="str">
        <f aca="false">IF(B218="","",IFERROR(INDEX(Tenancies!$B$5:$B$50,MATCH(B218,Tenancies!$A$5:$A$50,0)),"Check ID"))</f>
        <v/>
      </c>
      <c r="D218" s="29" t="str">
        <f aca="false">IF(B218="","",IFERROR(INDEX(Tenancies!$D$5:$D$50,MATCH(B218,Tenancies!$A$5:$A$50,0)),"Check ID"))</f>
        <v/>
      </c>
      <c r="E218" s="30"/>
      <c r="F218" s="31"/>
      <c r="G218" s="31"/>
      <c r="H218" s="28"/>
      <c r="I218" s="32" t="str">
        <f aca="false">IF(OR(B218="",E218=""),"",IF(SUMIFS($F$5:$F$304,$B$5:$B$304,B218,$E$5:$E$304,E218)&gt;=IFERROR(INDEX(Tenancies!$G$5:$G$50,MATCH(B218,Tenancies!$A$5:$A$50,0)),0),"Rent complete","Partial"))</f>
        <v/>
      </c>
      <c r="J218" s="28"/>
    </row>
    <row r="219" customFormat="false" ht="15" hidden="false" customHeight="false" outlineLevel="0" collapsed="false">
      <c r="A219" s="27"/>
      <c r="B219" s="28"/>
      <c r="C219" s="29" t="str">
        <f aca="false">IF(B219="","",IFERROR(INDEX(Tenancies!$B$5:$B$50,MATCH(B219,Tenancies!$A$5:$A$50,0)),"Check ID"))</f>
        <v/>
      </c>
      <c r="D219" s="29" t="str">
        <f aca="false">IF(B219="","",IFERROR(INDEX(Tenancies!$D$5:$D$50,MATCH(B219,Tenancies!$A$5:$A$50,0)),"Check ID"))</f>
        <v/>
      </c>
      <c r="E219" s="30"/>
      <c r="F219" s="31"/>
      <c r="G219" s="31"/>
      <c r="H219" s="28"/>
      <c r="I219" s="32" t="str">
        <f aca="false">IF(OR(B219="",E219=""),"",IF(SUMIFS($F$5:$F$304,$B$5:$B$304,B219,$E$5:$E$304,E219)&gt;=IFERROR(INDEX(Tenancies!$G$5:$G$50,MATCH(B219,Tenancies!$A$5:$A$50,0)),0),"Rent complete","Partial"))</f>
        <v/>
      </c>
      <c r="J219" s="28"/>
    </row>
    <row r="220" customFormat="false" ht="15" hidden="false" customHeight="false" outlineLevel="0" collapsed="false">
      <c r="A220" s="27"/>
      <c r="B220" s="28"/>
      <c r="C220" s="29" t="str">
        <f aca="false">IF(B220="","",IFERROR(INDEX(Tenancies!$B$5:$B$50,MATCH(B220,Tenancies!$A$5:$A$50,0)),"Check ID"))</f>
        <v/>
      </c>
      <c r="D220" s="29" t="str">
        <f aca="false">IF(B220="","",IFERROR(INDEX(Tenancies!$D$5:$D$50,MATCH(B220,Tenancies!$A$5:$A$50,0)),"Check ID"))</f>
        <v/>
      </c>
      <c r="E220" s="30"/>
      <c r="F220" s="31"/>
      <c r="G220" s="31"/>
      <c r="H220" s="28"/>
      <c r="I220" s="32" t="str">
        <f aca="false">IF(OR(B220="",E220=""),"",IF(SUMIFS($F$5:$F$304,$B$5:$B$304,B220,$E$5:$E$304,E220)&gt;=IFERROR(INDEX(Tenancies!$G$5:$G$50,MATCH(B220,Tenancies!$A$5:$A$50,0)),0),"Rent complete","Partial"))</f>
        <v/>
      </c>
      <c r="J220" s="28"/>
    </row>
    <row r="221" customFormat="false" ht="15" hidden="false" customHeight="false" outlineLevel="0" collapsed="false">
      <c r="A221" s="27"/>
      <c r="B221" s="28"/>
      <c r="C221" s="29" t="str">
        <f aca="false">IF(B221="","",IFERROR(INDEX(Tenancies!$B$5:$B$50,MATCH(B221,Tenancies!$A$5:$A$50,0)),"Check ID"))</f>
        <v/>
      </c>
      <c r="D221" s="29" t="str">
        <f aca="false">IF(B221="","",IFERROR(INDEX(Tenancies!$D$5:$D$50,MATCH(B221,Tenancies!$A$5:$A$50,0)),"Check ID"))</f>
        <v/>
      </c>
      <c r="E221" s="30"/>
      <c r="F221" s="31"/>
      <c r="G221" s="31"/>
      <c r="H221" s="28"/>
      <c r="I221" s="32" t="str">
        <f aca="false">IF(OR(B221="",E221=""),"",IF(SUMIFS($F$5:$F$304,$B$5:$B$304,B221,$E$5:$E$304,E221)&gt;=IFERROR(INDEX(Tenancies!$G$5:$G$50,MATCH(B221,Tenancies!$A$5:$A$50,0)),0),"Rent complete","Partial"))</f>
        <v/>
      </c>
      <c r="J221" s="28"/>
    </row>
    <row r="222" customFormat="false" ht="15" hidden="false" customHeight="false" outlineLevel="0" collapsed="false">
      <c r="A222" s="27"/>
      <c r="B222" s="28"/>
      <c r="C222" s="29" t="str">
        <f aca="false">IF(B222="","",IFERROR(INDEX(Tenancies!$B$5:$B$50,MATCH(B222,Tenancies!$A$5:$A$50,0)),"Check ID"))</f>
        <v/>
      </c>
      <c r="D222" s="29" t="str">
        <f aca="false">IF(B222="","",IFERROR(INDEX(Tenancies!$D$5:$D$50,MATCH(B222,Tenancies!$A$5:$A$50,0)),"Check ID"))</f>
        <v/>
      </c>
      <c r="E222" s="30"/>
      <c r="F222" s="31"/>
      <c r="G222" s="31"/>
      <c r="H222" s="28"/>
      <c r="I222" s="32" t="str">
        <f aca="false">IF(OR(B222="",E222=""),"",IF(SUMIFS($F$5:$F$304,$B$5:$B$304,B222,$E$5:$E$304,E222)&gt;=IFERROR(INDEX(Tenancies!$G$5:$G$50,MATCH(B222,Tenancies!$A$5:$A$50,0)),0),"Rent complete","Partial"))</f>
        <v/>
      </c>
      <c r="J222" s="28"/>
    </row>
    <row r="223" customFormat="false" ht="15" hidden="false" customHeight="false" outlineLevel="0" collapsed="false">
      <c r="A223" s="27"/>
      <c r="B223" s="28"/>
      <c r="C223" s="29" t="str">
        <f aca="false">IF(B223="","",IFERROR(INDEX(Tenancies!$B$5:$B$50,MATCH(B223,Tenancies!$A$5:$A$50,0)),"Check ID"))</f>
        <v/>
      </c>
      <c r="D223" s="29" t="str">
        <f aca="false">IF(B223="","",IFERROR(INDEX(Tenancies!$D$5:$D$50,MATCH(B223,Tenancies!$A$5:$A$50,0)),"Check ID"))</f>
        <v/>
      </c>
      <c r="E223" s="30"/>
      <c r="F223" s="31"/>
      <c r="G223" s="31"/>
      <c r="H223" s="28"/>
      <c r="I223" s="32" t="str">
        <f aca="false">IF(OR(B223="",E223=""),"",IF(SUMIFS($F$5:$F$304,$B$5:$B$304,B223,$E$5:$E$304,E223)&gt;=IFERROR(INDEX(Tenancies!$G$5:$G$50,MATCH(B223,Tenancies!$A$5:$A$50,0)),0),"Rent complete","Partial"))</f>
        <v/>
      </c>
      <c r="J223" s="28"/>
    </row>
    <row r="224" customFormat="false" ht="15" hidden="false" customHeight="false" outlineLevel="0" collapsed="false">
      <c r="A224" s="27"/>
      <c r="B224" s="28"/>
      <c r="C224" s="29" t="str">
        <f aca="false">IF(B224="","",IFERROR(INDEX(Tenancies!$B$5:$B$50,MATCH(B224,Tenancies!$A$5:$A$50,0)),"Check ID"))</f>
        <v/>
      </c>
      <c r="D224" s="29" t="str">
        <f aca="false">IF(B224="","",IFERROR(INDEX(Tenancies!$D$5:$D$50,MATCH(B224,Tenancies!$A$5:$A$50,0)),"Check ID"))</f>
        <v/>
      </c>
      <c r="E224" s="30"/>
      <c r="F224" s="31"/>
      <c r="G224" s="31"/>
      <c r="H224" s="28"/>
      <c r="I224" s="32" t="str">
        <f aca="false">IF(OR(B224="",E224=""),"",IF(SUMIFS($F$5:$F$304,$B$5:$B$304,B224,$E$5:$E$304,E224)&gt;=IFERROR(INDEX(Tenancies!$G$5:$G$50,MATCH(B224,Tenancies!$A$5:$A$50,0)),0),"Rent complete","Partial"))</f>
        <v/>
      </c>
      <c r="J224" s="28"/>
    </row>
    <row r="225" customFormat="false" ht="15" hidden="false" customHeight="false" outlineLevel="0" collapsed="false">
      <c r="A225" s="27"/>
      <c r="B225" s="28"/>
      <c r="C225" s="29" t="str">
        <f aca="false">IF(B225="","",IFERROR(INDEX(Tenancies!$B$5:$B$50,MATCH(B225,Tenancies!$A$5:$A$50,0)),"Check ID"))</f>
        <v/>
      </c>
      <c r="D225" s="29" t="str">
        <f aca="false">IF(B225="","",IFERROR(INDEX(Tenancies!$D$5:$D$50,MATCH(B225,Tenancies!$A$5:$A$50,0)),"Check ID"))</f>
        <v/>
      </c>
      <c r="E225" s="30"/>
      <c r="F225" s="31"/>
      <c r="G225" s="31"/>
      <c r="H225" s="28"/>
      <c r="I225" s="32" t="str">
        <f aca="false">IF(OR(B225="",E225=""),"",IF(SUMIFS($F$5:$F$304,$B$5:$B$304,B225,$E$5:$E$304,E225)&gt;=IFERROR(INDEX(Tenancies!$G$5:$G$50,MATCH(B225,Tenancies!$A$5:$A$50,0)),0),"Rent complete","Partial"))</f>
        <v/>
      </c>
      <c r="J225" s="28"/>
    </row>
    <row r="226" customFormat="false" ht="15" hidden="false" customHeight="false" outlineLevel="0" collapsed="false">
      <c r="A226" s="27"/>
      <c r="B226" s="28"/>
      <c r="C226" s="29" t="str">
        <f aca="false">IF(B226="","",IFERROR(INDEX(Tenancies!$B$5:$B$50,MATCH(B226,Tenancies!$A$5:$A$50,0)),"Check ID"))</f>
        <v/>
      </c>
      <c r="D226" s="29" t="str">
        <f aca="false">IF(B226="","",IFERROR(INDEX(Tenancies!$D$5:$D$50,MATCH(B226,Tenancies!$A$5:$A$50,0)),"Check ID"))</f>
        <v/>
      </c>
      <c r="E226" s="30"/>
      <c r="F226" s="31"/>
      <c r="G226" s="31"/>
      <c r="H226" s="28"/>
      <c r="I226" s="32" t="str">
        <f aca="false">IF(OR(B226="",E226=""),"",IF(SUMIFS($F$5:$F$304,$B$5:$B$304,B226,$E$5:$E$304,E226)&gt;=IFERROR(INDEX(Tenancies!$G$5:$G$50,MATCH(B226,Tenancies!$A$5:$A$50,0)),0),"Rent complete","Partial"))</f>
        <v/>
      </c>
      <c r="J226" s="28"/>
    </row>
    <row r="227" customFormat="false" ht="15" hidden="false" customHeight="false" outlineLevel="0" collapsed="false">
      <c r="A227" s="27"/>
      <c r="B227" s="28"/>
      <c r="C227" s="29" t="str">
        <f aca="false">IF(B227="","",IFERROR(INDEX(Tenancies!$B$5:$B$50,MATCH(B227,Tenancies!$A$5:$A$50,0)),"Check ID"))</f>
        <v/>
      </c>
      <c r="D227" s="29" t="str">
        <f aca="false">IF(B227="","",IFERROR(INDEX(Tenancies!$D$5:$D$50,MATCH(B227,Tenancies!$A$5:$A$50,0)),"Check ID"))</f>
        <v/>
      </c>
      <c r="E227" s="30"/>
      <c r="F227" s="31"/>
      <c r="G227" s="31"/>
      <c r="H227" s="28"/>
      <c r="I227" s="32" t="str">
        <f aca="false">IF(OR(B227="",E227=""),"",IF(SUMIFS($F$5:$F$304,$B$5:$B$304,B227,$E$5:$E$304,E227)&gt;=IFERROR(INDEX(Tenancies!$G$5:$G$50,MATCH(B227,Tenancies!$A$5:$A$50,0)),0),"Rent complete","Partial"))</f>
        <v/>
      </c>
      <c r="J227" s="28"/>
    </row>
    <row r="228" customFormat="false" ht="15" hidden="false" customHeight="false" outlineLevel="0" collapsed="false">
      <c r="A228" s="27"/>
      <c r="B228" s="28"/>
      <c r="C228" s="29" t="str">
        <f aca="false">IF(B228="","",IFERROR(INDEX(Tenancies!$B$5:$B$50,MATCH(B228,Tenancies!$A$5:$A$50,0)),"Check ID"))</f>
        <v/>
      </c>
      <c r="D228" s="29" t="str">
        <f aca="false">IF(B228="","",IFERROR(INDEX(Tenancies!$D$5:$D$50,MATCH(B228,Tenancies!$A$5:$A$50,0)),"Check ID"))</f>
        <v/>
      </c>
      <c r="E228" s="30"/>
      <c r="F228" s="31"/>
      <c r="G228" s="31"/>
      <c r="H228" s="28"/>
      <c r="I228" s="32" t="str">
        <f aca="false">IF(OR(B228="",E228=""),"",IF(SUMIFS($F$5:$F$304,$B$5:$B$304,B228,$E$5:$E$304,E228)&gt;=IFERROR(INDEX(Tenancies!$G$5:$G$50,MATCH(B228,Tenancies!$A$5:$A$50,0)),0),"Rent complete","Partial"))</f>
        <v/>
      </c>
      <c r="J228" s="28"/>
    </row>
    <row r="229" customFormat="false" ht="15" hidden="false" customHeight="false" outlineLevel="0" collapsed="false">
      <c r="A229" s="27"/>
      <c r="B229" s="28"/>
      <c r="C229" s="29" t="str">
        <f aca="false">IF(B229="","",IFERROR(INDEX(Tenancies!$B$5:$B$50,MATCH(B229,Tenancies!$A$5:$A$50,0)),"Check ID"))</f>
        <v/>
      </c>
      <c r="D229" s="29" t="str">
        <f aca="false">IF(B229="","",IFERROR(INDEX(Tenancies!$D$5:$D$50,MATCH(B229,Tenancies!$A$5:$A$50,0)),"Check ID"))</f>
        <v/>
      </c>
      <c r="E229" s="30"/>
      <c r="F229" s="31"/>
      <c r="G229" s="31"/>
      <c r="H229" s="28"/>
      <c r="I229" s="32" t="str">
        <f aca="false">IF(OR(B229="",E229=""),"",IF(SUMIFS($F$5:$F$304,$B$5:$B$304,B229,$E$5:$E$304,E229)&gt;=IFERROR(INDEX(Tenancies!$G$5:$G$50,MATCH(B229,Tenancies!$A$5:$A$50,0)),0),"Rent complete","Partial"))</f>
        <v/>
      </c>
      <c r="J229" s="28"/>
    </row>
    <row r="230" customFormat="false" ht="15" hidden="false" customHeight="false" outlineLevel="0" collapsed="false">
      <c r="A230" s="27"/>
      <c r="B230" s="28"/>
      <c r="C230" s="29" t="str">
        <f aca="false">IF(B230="","",IFERROR(INDEX(Tenancies!$B$5:$B$50,MATCH(B230,Tenancies!$A$5:$A$50,0)),"Check ID"))</f>
        <v/>
      </c>
      <c r="D230" s="29" t="str">
        <f aca="false">IF(B230="","",IFERROR(INDEX(Tenancies!$D$5:$D$50,MATCH(B230,Tenancies!$A$5:$A$50,0)),"Check ID"))</f>
        <v/>
      </c>
      <c r="E230" s="30"/>
      <c r="F230" s="31"/>
      <c r="G230" s="31"/>
      <c r="H230" s="28"/>
      <c r="I230" s="32" t="str">
        <f aca="false">IF(OR(B230="",E230=""),"",IF(SUMIFS($F$5:$F$304,$B$5:$B$304,B230,$E$5:$E$304,E230)&gt;=IFERROR(INDEX(Tenancies!$G$5:$G$50,MATCH(B230,Tenancies!$A$5:$A$50,0)),0),"Rent complete","Partial"))</f>
        <v/>
      </c>
      <c r="J230" s="28"/>
    </row>
    <row r="231" customFormat="false" ht="15" hidden="false" customHeight="false" outlineLevel="0" collapsed="false">
      <c r="A231" s="27"/>
      <c r="B231" s="28"/>
      <c r="C231" s="29" t="str">
        <f aca="false">IF(B231="","",IFERROR(INDEX(Tenancies!$B$5:$B$50,MATCH(B231,Tenancies!$A$5:$A$50,0)),"Check ID"))</f>
        <v/>
      </c>
      <c r="D231" s="29" t="str">
        <f aca="false">IF(B231="","",IFERROR(INDEX(Tenancies!$D$5:$D$50,MATCH(B231,Tenancies!$A$5:$A$50,0)),"Check ID"))</f>
        <v/>
      </c>
      <c r="E231" s="30"/>
      <c r="F231" s="31"/>
      <c r="G231" s="31"/>
      <c r="H231" s="28"/>
      <c r="I231" s="32" t="str">
        <f aca="false">IF(OR(B231="",E231=""),"",IF(SUMIFS($F$5:$F$304,$B$5:$B$304,B231,$E$5:$E$304,E231)&gt;=IFERROR(INDEX(Tenancies!$G$5:$G$50,MATCH(B231,Tenancies!$A$5:$A$50,0)),0),"Rent complete","Partial"))</f>
        <v/>
      </c>
      <c r="J231" s="28"/>
    </row>
    <row r="232" customFormat="false" ht="15" hidden="false" customHeight="false" outlineLevel="0" collapsed="false">
      <c r="A232" s="27"/>
      <c r="B232" s="28"/>
      <c r="C232" s="29" t="str">
        <f aca="false">IF(B232="","",IFERROR(INDEX(Tenancies!$B$5:$B$50,MATCH(B232,Tenancies!$A$5:$A$50,0)),"Check ID"))</f>
        <v/>
      </c>
      <c r="D232" s="29" t="str">
        <f aca="false">IF(B232="","",IFERROR(INDEX(Tenancies!$D$5:$D$50,MATCH(B232,Tenancies!$A$5:$A$50,0)),"Check ID"))</f>
        <v/>
      </c>
      <c r="E232" s="30"/>
      <c r="F232" s="31"/>
      <c r="G232" s="31"/>
      <c r="H232" s="28"/>
      <c r="I232" s="32" t="str">
        <f aca="false">IF(OR(B232="",E232=""),"",IF(SUMIFS($F$5:$F$304,$B$5:$B$304,B232,$E$5:$E$304,E232)&gt;=IFERROR(INDEX(Tenancies!$G$5:$G$50,MATCH(B232,Tenancies!$A$5:$A$50,0)),0),"Rent complete","Partial"))</f>
        <v/>
      </c>
      <c r="J232" s="28"/>
    </row>
    <row r="233" customFormat="false" ht="15" hidden="false" customHeight="false" outlineLevel="0" collapsed="false">
      <c r="A233" s="27"/>
      <c r="B233" s="28"/>
      <c r="C233" s="29" t="str">
        <f aca="false">IF(B233="","",IFERROR(INDEX(Tenancies!$B$5:$B$50,MATCH(B233,Tenancies!$A$5:$A$50,0)),"Check ID"))</f>
        <v/>
      </c>
      <c r="D233" s="29" t="str">
        <f aca="false">IF(B233="","",IFERROR(INDEX(Tenancies!$D$5:$D$50,MATCH(B233,Tenancies!$A$5:$A$50,0)),"Check ID"))</f>
        <v/>
      </c>
      <c r="E233" s="30"/>
      <c r="F233" s="31"/>
      <c r="G233" s="31"/>
      <c r="H233" s="28"/>
      <c r="I233" s="32" t="str">
        <f aca="false">IF(OR(B233="",E233=""),"",IF(SUMIFS($F$5:$F$304,$B$5:$B$304,B233,$E$5:$E$304,E233)&gt;=IFERROR(INDEX(Tenancies!$G$5:$G$50,MATCH(B233,Tenancies!$A$5:$A$50,0)),0),"Rent complete","Partial"))</f>
        <v/>
      </c>
      <c r="J233" s="28"/>
    </row>
    <row r="234" customFormat="false" ht="15" hidden="false" customHeight="false" outlineLevel="0" collapsed="false">
      <c r="A234" s="27"/>
      <c r="B234" s="28"/>
      <c r="C234" s="29" t="str">
        <f aca="false">IF(B234="","",IFERROR(INDEX(Tenancies!$B$5:$B$50,MATCH(B234,Tenancies!$A$5:$A$50,0)),"Check ID"))</f>
        <v/>
      </c>
      <c r="D234" s="29" t="str">
        <f aca="false">IF(B234="","",IFERROR(INDEX(Tenancies!$D$5:$D$50,MATCH(B234,Tenancies!$A$5:$A$50,0)),"Check ID"))</f>
        <v/>
      </c>
      <c r="E234" s="30"/>
      <c r="F234" s="31"/>
      <c r="G234" s="31"/>
      <c r="H234" s="28"/>
      <c r="I234" s="32" t="str">
        <f aca="false">IF(OR(B234="",E234=""),"",IF(SUMIFS($F$5:$F$304,$B$5:$B$304,B234,$E$5:$E$304,E234)&gt;=IFERROR(INDEX(Tenancies!$G$5:$G$50,MATCH(B234,Tenancies!$A$5:$A$50,0)),0),"Rent complete","Partial"))</f>
        <v/>
      </c>
      <c r="J234" s="28"/>
    </row>
    <row r="235" customFormat="false" ht="15" hidden="false" customHeight="false" outlineLevel="0" collapsed="false">
      <c r="A235" s="27"/>
      <c r="B235" s="28"/>
      <c r="C235" s="29" t="str">
        <f aca="false">IF(B235="","",IFERROR(INDEX(Tenancies!$B$5:$B$50,MATCH(B235,Tenancies!$A$5:$A$50,0)),"Check ID"))</f>
        <v/>
      </c>
      <c r="D235" s="29" t="str">
        <f aca="false">IF(B235="","",IFERROR(INDEX(Tenancies!$D$5:$D$50,MATCH(B235,Tenancies!$A$5:$A$50,0)),"Check ID"))</f>
        <v/>
      </c>
      <c r="E235" s="30"/>
      <c r="F235" s="31"/>
      <c r="G235" s="31"/>
      <c r="H235" s="28"/>
      <c r="I235" s="32" t="str">
        <f aca="false">IF(OR(B235="",E235=""),"",IF(SUMIFS($F$5:$F$304,$B$5:$B$304,B235,$E$5:$E$304,E235)&gt;=IFERROR(INDEX(Tenancies!$G$5:$G$50,MATCH(B235,Tenancies!$A$5:$A$50,0)),0),"Rent complete","Partial"))</f>
        <v/>
      </c>
      <c r="J235" s="28"/>
    </row>
    <row r="236" customFormat="false" ht="15" hidden="false" customHeight="false" outlineLevel="0" collapsed="false">
      <c r="A236" s="27"/>
      <c r="B236" s="28"/>
      <c r="C236" s="29" t="str">
        <f aca="false">IF(B236="","",IFERROR(INDEX(Tenancies!$B$5:$B$50,MATCH(B236,Tenancies!$A$5:$A$50,0)),"Check ID"))</f>
        <v/>
      </c>
      <c r="D236" s="29" t="str">
        <f aca="false">IF(B236="","",IFERROR(INDEX(Tenancies!$D$5:$D$50,MATCH(B236,Tenancies!$A$5:$A$50,0)),"Check ID"))</f>
        <v/>
      </c>
      <c r="E236" s="30"/>
      <c r="F236" s="31"/>
      <c r="G236" s="31"/>
      <c r="H236" s="28"/>
      <c r="I236" s="32" t="str">
        <f aca="false">IF(OR(B236="",E236=""),"",IF(SUMIFS($F$5:$F$304,$B$5:$B$304,B236,$E$5:$E$304,E236)&gt;=IFERROR(INDEX(Tenancies!$G$5:$G$50,MATCH(B236,Tenancies!$A$5:$A$50,0)),0),"Rent complete","Partial"))</f>
        <v/>
      </c>
      <c r="J236" s="28"/>
    </row>
    <row r="237" customFormat="false" ht="15" hidden="false" customHeight="false" outlineLevel="0" collapsed="false">
      <c r="A237" s="27"/>
      <c r="B237" s="28"/>
      <c r="C237" s="29" t="str">
        <f aca="false">IF(B237="","",IFERROR(INDEX(Tenancies!$B$5:$B$50,MATCH(B237,Tenancies!$A$5:$A$50,0)),"Check ID"))</f>
        <v/>
      </c>
      <c r="D237" s="29" t="str">
        <f aca="false">IF(B237="","",IFERROR(INDEX(Tenancies!$D$5:$D$50,MATCH(B237,Tenancies!$A$5:$A$50,0)),"Check ID"))</f>
        <v/>
      </c>
      <c r="E237" s="30"/>
      <c r="F237" s="31"/>
      <c r="G237" s="31"/>
      <c r="H237" s="28"/>
      <c r="I237" s="32" t="str">
        <f aca="false">IF(OR(B237="",E237=""),"",IF(SUMIFS($F$5:$F$304,$B$5:$B$304,B237,$E$5:$E$304,E237)&gt;=IFERROR(INDEX(Tenancies!$G$5:$G$50,MATCH(B237,Tenancies!$A$5:$A$50,0)),0),"Rent complete","Partial"))</f>
        <v/>
      </c>
      <c r="J237" s="28"/>
    </row>
    <row r="238" customFormat="false" ht="15" hidden="false" customHeight="false" outlineLevel="0" collapsed="false">
      <c r="A238" s="27"/>
      <c r="B238" s="28"/>
      <c r="C238" s="29" t="str">
        <f aca="false">IF(B238="","",IFERROR(INDEX(Tenancies!$B$5:$B$50,MATCH(B238,Tenancies!$A$5:$A$50,0)),"Check ID"))</f>
        <v/>
      </c>
      <c r="D238" s="29" t="str">
        <f aca="false">IF(B238="","",IFERROR(INDEX(Tenancies!$D$5:$D$50,MATCH(B238,Tenancies!$A$5:$A$50,0)),"Check ID"))</f>
        <v/>
      </c>
      <c r="E238" s="30"/>
      <c r="F238" s="31"/>
      <c r="G238" s="31"/>
      <c r="H238" s="28"/>
      <c r="I238" s="32" t="str">
        <f aca="false">IF(OR(B238="",E238=""),"",IF(SUMIFS($F$5:$F$304,$B$5:$B$304,B238,$E$5:$E$304,E238)&gt;=IFERROR(INDEX(Tenancies!$G$5:$G$50,MATCH(B238,Tenancies!$A$5:$A$50,0)),0),"Rent complete","Partial"))</f>
        <v/>
      </c>
      <c r="J238" s="28"/>
    </row>
    <row r="239" customFormat="false" ht="15" hidden="false" customHeight="false" outlineLevel="0" collapsed="false">
      <c r="A239" s="27"/>
      <c r="B239" s="28"/>
      <c r="C239" s="29" t="str">
        <f aca="false">IF(B239="","",IFERROR(INDEX(Tenancies!$B$5:$B$50,MATCH(B239,Tenancies!$A$5:$A$50,0)),"Check ID"))</f>
        <v/>
      </c>
      <c r="D239" s="29" t="str">
        <f aca="false">IF(B239="","",IFERROR(INDEX(Tenancies!$D$5:$D$50,MATCH(B239,Tenancies!$A$5:$A$50,0)),"Check ID"))</f>
        <v/>
      </c>
      <c r="E239" s="30"/>
      <c r="F239" s="31"/>
      <c r="G239" s="31"/>
      <c r="H239" s="28"/>
      <c r="I239" s="32" t="str">
        <f aca="false">IF(OR(B239="",E239=""),"",IF(SUMIFS($F$5:$F$304,$B$5:$B$304,B239,$E$5:$E$304,E239)&gt;=IFERROR(INDEX(Tenancies!$G$5:$G$50,MATCH(B239,Tenancies!$A$5:$A$50,0)),0),"Rent complete","Partial"))</f>
        <v/>
      </c>
      <c r="J239" s="28"/>
    </row>
    <row r="240" customFormat="false" ht="15" hidden="false" customHeight="false" outlineLevel="0" collapsed="false">
      <c r="A240" s="27"/>
      <c r="B240" s="28"/>
      <c r="C240" s="29" t="str">
        <f aca="false">IF(B240="","",IFERROR(INDEX(Tenancies!$B$5:$B$50,MATCH(B240,Tenancies!$A$5:$A$50,0)),"Check ID"))</f>
        <v/>
      </c>
      <c r="D240" s="29" t="str">
        <f aca="false">IF(B240="","",IFERROR(INDEX(Tenancies!$D$5:$D$50,MATCH(B240,Tenancies!$A$5:$A$50,0)),"Check ID"))</f>
        <v/>
      </c>
      <c r="E240" s="30"/>
      <c r="F240" s="31"/>
      <c r="G240" s="31"/>
      <c r="H240" s="28"/>
      <c r="I240" s="32" t="str">
        <f aca="false">IF(OR(B240="",E240=""),"",IF(SUMIFS($F$5:$F$304,$B$5:$B$304,B240,$E$5:$E$304,E240)&gt;=IFERROR(INDEX(Tenancies!$G$5:$G$50,MATCH(B240,Tenancies!$A$5:$A$50,0)),0),"Rent complete","Partial"))</f>
        <v/>
      </c>
      <c r="J240" s="28"/>
    </row>
    <row r="241" customFormat="false" ht="15" hidden="false" customHeight="false" outlineLevel="0" collapsed="false">
      <c r="A241" s="27"/>
      <c r="B241" s="28"/>
      <c r="C241" s="29" t="str">
        <f aca="false">IF(B241="","",IFERROR(INDEX(Tenancies!$B$5:$B$50,MATCH(B241,Tenancies!$A$5:$A$50,0)),"Check ID"))</f>
        <v/>
      </c>
      <c r="D241" s="29" t="str">
        <f aca="false">IF(B241="","",IFERROR(INDEX(Tenancies!$D$5:$D$50,MATCH(B241,Tenancies!$A$5:$A$50,0)),"Check ID"))</f>
        <v/>
      </c>
      <c r="E241" s="30"/>
      <c r="F241" s="31"/>
      <c r="G241" s="31"/>
      <c r="H241" s="28"/>
      <c r="I241" s="32" t="str">
        <f aca="false">IF(OR(B241="",E241=""),"",IF(SUMIFS($F$5:$F$304,$B$5:$B$304,B241,$E$5:$E$304,E241)&gt;=IFERROR(INDEX(Tenancies!$G$5:$G$50,MATCH(B241,Tenancies!$A$5:$A$50,0)),0),"Rent complete","Partial"))</f>
        <v/>
      </c>
      <c r="J241" s="28"/>
    </row>
    <row r="242" customFormat="false" ht="15" hidden="false" customHeight="false" outlineLevel="0" collapsed="false">
      <c r="A242" s="27"/>
      <c r="B242" s="28"/>
      <c r="C242" s="29" t="str">
        <f aca="false">IF(B242="","",IFERROR(INDEX(Tenancies!$B$5:$B$50,MATCH(B242,Tenancies!$A$5:$A$50,0)),"Check ID"))</f>
        <v/>
      </c>
      <c r="D242" s="29" t="str">
        <f aca="false">IF(B242="","",IFERROR(INDEX(Tenancies!$D$5:$D$50,MATCH(B242,Tenancies!$A$5:$A$50,0)),"Check ID"))</f>
        <v/>
      </c>
      <c r="E242" s="30"/>
      <c r="F242" s="31"/>
      <c r="G242" s="31"/>
      <c r="H242" s="28"/>
      <c r="I242" s="32" t="str">
        <f aca="false">IF(OR(B242="",E242=""),"",IF(SUMIFS($F$5:$F$304,$B$5:$B$304,B242,$E$5:$E$304,E242)&gt;=IFERROR(INDEX(Tenancies!$G$5:$G$50,MATCH(B242,Tenancies!$A$5:$A$50,0)),0),"Rent complete","Partial"))</f>
        <v/>
      </c>
      <c r="J242" s="28"/>
    </row>
    <row r="243" customFormat="false" ht="15" hidden="false" customHeight="false" outlineLevel="0" collapsed="false">
      <c r="A243" s="27"/>
      <c r="B243" s="28"/>
      <c r="C243" s="29" t="str">
        <f aca="false">IF(B243="","",IFERROR(INDEX(Tenancies!$B$5:$B$50,MATCH(B243,Tenancies!$A$5:$A$50,0)),"Check ID"))</f>
        <v/>
      </c>
      <c r="D243" s="29" t="str">
        <f aca="false">IF(B243="","",IFERROR(INDEX(Tenancies!$D$5:$D$50,MATCH(B243,Tenancies!$A$5:$A$50,0)),"Check ID"))</f>
        <v/>
      </c>
      <c r="E243" s="30"/>
      <c r="F243" s="31"/>
      <c r="G243" s="31"/>
      <c r="H243" s="28"/>
      <c r="I243" s="32" t="str">
        <f aca="false">IF(OR(B243="",E243=""),"",IF(SUMIFS($F$5:$F$304,$B$5:$B$304,B243,$E$5:$E$304,E243)&gt;=IFERROR(INDEX(Tenancies!$G$5:$G$50,MATCH(B243,Tenancies!$A$5:$A$50,0)),0),"Rent complete","Partial"))</f>
        <v/>
      </c>
      <c r="J243" s="28"/>
    </row>
    <row r="244" customFormat="false" ht="15" hidden="false" customHeight="false" outlineLevel="0" collapsed="false">
      <c r="A244" s="27"/>
      <c r="B244" s="28"/>
      <c r="C244" s="29" t="str">
        <f aca="false">IF(B244="","",IFERROR(INDEX(Tenancies!$B$5:$B$50,MATCH(B244,Tenancies!$A$5:$A$50,0)),"Check ID"))</f>
        <v/>
      </c>
      <c r="D244" s="29" t="str">
        <f aca="false">IF(B244="","",IFERROR(INDEX(Tenancies!$D$5:$D$50,MATCH(B244,Tenancies!$A$5:$A$50,0)),"Check ID"))</f>
        <v/>
      </c>
      <c r="E244" s="30"/>
      <c r="F244" s="31"/>
      <c r="G244" s="31"/>
      <c r="H244" s="28"/>
      <c r="I244" s="32" t="str">
        <f aca="false">IF(OR(B244="",E244=""),"",IF(SUMIFS($F$5:$F$304,$B$5:$B$304,B244,$E$5:$E$304,E244)&gt;=IFERROR(INDEX(Tenancies!$G$5:$G$50,MATCH(B244,Tenancies!$A$5:$A$50,0)),0),"Rent complete","Partial"))</f>
        <v/>
      </c>
      <c r="J244" s="28"/>
    </row>
    <row r="245" customFormat="false" ht="15" hidden="false" customHeight="false" outlineLevel="0" collapsed="false">
      <c r="A245" s="27"/>
      <c r="B245" s="28"/>
      <c r="C245" s="29" t="str">
        <f aca="false">IF(B245="","",IFERROR(INDEX(Tenancies!$B$5:$B$50,MATCH(B245,Tenancies!$A$5:$A$50,0)),"Check ID"))</f>
        <v/>
      </c>
      <c r="D245" s="29" t="str">
        <f aca="false">IF(B245="","",IFERROR(INDEX(Tenancies!$D$5:$D$50,MATCH(B245,Tenancies!$A$5:$A$50,0)),"Check ID"))</f>
        <v/>
      </c>
      <c r="E245" s="30"/>
      <c r="F245" s="31"/>
      <c r="G245" s="31"/>
      <c r="H245" s="28"/>
      <c r="I245" s="32" t="str">
        <f aca="false">IF(OR(B245="",E245=""),"",IF(SUMIFS($F$5:$F$304,$B$5:$B$304,B245,$E$5:$E$304,E245)&gt;=IFERROR(INDEX(Tenancies!$G$5:$G$50,MATCH(B245,Tenancies!$A$5:$A$50,0)),0),"Rent complete","Partial"))</f>
        <v/>
      </c>
      <c r="J245" s="28"/>
    </row>
    <row r="246" customFormat="false" ht="15" hidden="false" customHeight="false" outlineLevel="0" collapsed="false">
      <c r="A246" s="27"/>
      <c r="B246" s="28"/>
      <c r="C246" s="29" t="str">
        <f aca="false">IF(B246="","",IFERROR(INDEX(Tenancies!$B$5:$B$50,MATCH(B246,Tenancies!$A$5:$A$50,0)),"Check ID"))</f>
        <v/>
      </c>
      <c r="D246" s="29" t="str">
        <f aca="false">IF(B246="","",IFERROR(INDEX(Tenancies!$D$5:$D$50,MATCH(B246,Tenancies!$A$5:$A$50,0)),"Check ID"))</f>
        <v/>
      </c>
      <c r="E246" s="30"/>
      <c r="F246" s="31"/>
      <c r="G246" s="31"/>
      <c r="H246" s="28"/>
      <c r="I246" s="32" t="str">
        <f aca="false">IF(OR(B246="",E246=""),"",IF(SUMIFS($F$5:$F$304,$B$5:$B$304,B246,$E$5:$E$304,E246)&gt;=IFERROR(INDEX(Tenancies!$G$5:$G$50,MATCH(B246,Tenancies!$A$5:$A$50,0)),0),"Rent complete","Partial"))</f>
        <v/>
      </c>
      <c r="J246" s="28"/>
    </row>
    <row r="247" customFormat="false" ht="15" hidden="false" customHeight="false" outlineLevel="0" collapsed="false">
      <c r="A247" s="27"/>
      <c r="B247" s="28"/>
      <c r="C247" s="29" t="str">
        <f aca="false">IF(B247="","",IFERROR(INDEX(Tenancies!$B$5:$B$50,MATCH(B247,Tenancies!$A$5:$A$50,0)),"Check ID"))</f>
        <v/>
      </c>
      <c r="D247" s="29" t="str">
        <f aca="false">IF(B247="","",IFERROR(INDEX(Tenancies!$D$5:$D$50,MATCH(B247,Tenancies!$A$5:$A$50,0)),"Check ID"))</f>
        <v/>
      </c>
      <c r="E247" s="30"/>
      <c r="F247" s="31"/>
      <c r="G247" s="31"/>
      <c r="H247" s="28"/>
      <c r="I247" s="32" t="str">
        <f aca="false">IF(OR(B247="",E247=""),"",IF(SUMIFS($F$5:$F$304,$B$5:$B$304,B247,$E$5:$E$304,E247)&gt;=IFERROR(INDEX(Tenancies!$G$5:$G$50,MATCH(B247,Tenancies!$A$5:$A$50,0)),0),"Rent complete","Partial"))</f>
        <v/>
      </c>
      <c r="J247" s="28"/>
    </row>
    <row r="248" customFormat="false" ht="15" hidden="false" customHeight="false" outlineLevel="0" collapsed="false">
      <c r="A248" s="27"/>
      <c r="B248" s="28"/>
      <c r="C248" s="29" t="str">
        <f aca="false">IF(B248="","",IFERROR(INDEX(Tenancies!$B$5:$B$50,MATCH(B248,Tenancies!$A$5:$A$50,0)),"Check ID"))</f>
        <v/>
      </c>
      <c r="D248" s="29" t="str">
        <f aca="false">IF(B248="","",IFERROR(INDEX(Tenancies!$D$5:$D$50,MATCH(B248,Tenancies!$A$5:$A$50,0)),"Check ID"))</f>
        <v/>
      </c>
      <c r="E248" s="30"/>
      <c r="F248" s="31"/>
      <c r="G248" s="31"/>
      <c r="H248" s="28"/>
      <c r="I248" s="32" t="str">
        <f aca="false">IF(OR(B248="",E248=""),"",IF(SUMIFS($F$5:$F$304,$B$5:$B$304,B248,$E$5:$E$304,E248)&gt;=IFERROR(INDEX(Tenancies!$G$5:$G$50,MATCH(B248,Tenancies!$A$5:$A$50,0)),0),"Rent complete","Partial"))</f>
        <v/>
      </c>
      <c r="J248" s="28"/>
    </row>
    <row r="249" customFormat="false" ht="15" hidden="false" customHeight="false" outlineLevel="0" collapsed="false">
      <c r="A249" s="27"/>
      <c r="B249" s="28"/>
      <c r="C249" s="29" t="str">
        <f aca="false">IF(B249="","",IFERROR(INDEX(Tenancies!$B$5:$B$50,MATCH(B249,Tenancies!$A$5:$A$50,0)),"Check ID"))</f>
        <v/>
      </c>
      <c r="D249" s="29" t="str">
        <f aca="false">IF(B249="","",IFERROR(INDEX(Tenancies!$D$5:$D$50,MATCH(B249,Tenancies!$A$5:$A$50,0)),"Check ID"))</f>
        <v/>
      </c>
      <c r="E249" s="30"/>
      <c r="F249" s="31"/>
      <c r="G249" s="31"/>
      <c r="H249" s="28"/>
      <c r="I249" s="32" t="str">
        <f aca="false">IF(OR(B249="",E249=""),"",IF(SUMIFS($F$5:$F$304,$B$5:$B$304,B249,$E$5:$E$304,E249)&gt;=IFERROR(INDEX(Tenancies!$G$5:$G$50,MATCH(B249,Tenancies!$A$5:$A$50,0)),0),"Rent complete","Partial"))</f>
        <v/>
      </c>
      <c r="J249" s="28"/>
    </row>
    <row r="250" customFormat="false" ht="15" hidden="false" customHeight="false" outlineLevel="0" collapsed="false">
      <c r="A250" s="27"/>
      <c r="B250" s="28"/>
      <c r="C250" s="29" t="str">
        <f aca="false">IF(B250="","",IFERROR(INDEX(Tenancies!$B$5:$B$50,MATCH(B250,Tenancies!$A$5:$A$50,0)),"Check ID"))</f>
        <v/>
      </c>
      <c r="D250" s="29" t="str">
        <f aca="false">IF(B250="","",IFERROR(INDEX(Tenancies!$D$5:$D$50,MATCH(B250,Tenancies!$A$5:$A$50,0)),"Check ID"))</f>
        <v/>
      </c>
      <c r="E250" s="30"/>
      <c r="F250" s="31"/>
      <c r="G250" s="31"/>
      <c r="H250" s="28"/>
      <c r="I250" s="32" t="str">
        <f aca="false">IF(OR(B250="",E250=""),"",IF(SUMIFS($F$5:$F$304,$B$5:$B$304,B250,$E$5:$E$304,E250)&gt;=IFERROR(INDEX(Tenancies!$G$5:$G$50,MATCH(B250,Tenancies!$A$5:$A$50,0)),0),"Rent complete","Partial"))</f>
        <v/>
      </c>
      <c r="J250" s="28"/>
    </row>
    <row r="251" customFormat="false" ht="15" hidden="false" customHeight="false" outlineLevel="0" collapsed="false">
      <c r="A251" s="27"/>
      <c r="B251" s="28"/>
      <c r="C251" s="29" t="str">
        <f aca="false">IF(B251="","",IFERROR(INDEX(Tenancies!$B$5:$B$50,MATCH(B251,Tenancies!$A$5:$A$50,0)),"Check ID"))</f>
        <v/>
      </c>
      <c r="D251" s="29" t="str">
        <f aca="false">IF(B251="","",IFERROR(INDEX(Tenancies!$D$5:$D$50,MATCH(B251,Tenancies!$A$5:$A$50,0)),"Check ID"))</f>
        <v/>
      </c>
      <c r="E251" s="30"/>
      <c r="F251" s="31"/>
      <c r="G251" s="31"/>
      <c r="H251" s="28"/>
      <c r="I251" s="32" t="str">
        <f aca="false">IF(OR(B251="",E251=""),"",IF(SUMIFS($F$5:$F$304,$B$5:$B$304,B251,$E$5:$E$304,E251)&gt;=IFERROR(INDEX(Tenancies!$G$5:$G$50,MATCH(B251,Tenancies!$A$5:$A$50,0)),0),"Rent complete","Partial"))</f>
        <v/>
      </c>
      <c r="J251" s="28"/>
    </row>
    <row r="252" customFormat="false" ht="15" hidden="false" customHeight="false" outlineLevel="0" collapsed="false">
      <c r="A252" s="27"/>
      <c r="B252" s="28"/>
      <c r="C252" s="29" t="str">
        <f aca="false">IF(B252="","",IFERROR(INDEX(Tenancies!$B$5:$B$50,MATCH(B252,Tenancies!$A$5:$A$50,0)),"Check ID"))</f>
        <v/>
      </c>
      <c r="D252" s="29" t="str">
        <f aca="false">IF(B252="","",IFERROR(INDEX(Tenancies!$D$5:$D$50,MATCH(B252,Tenancies!$A$5:$A$50,0)),"Check ID"))</f>
        <v/>
      </c>
      <c r="E252" s="30"/>
      <c r="F252" s="31"/>
      <c r="G252" s="31"/>
      <c r="H252" s="28"/>
      <c r="I252" s="32" t="str">
        <f aca="false">IF(OR(B252="",E252=""),"",IF(SUMIFS($F$5:$F$304,$B$5:$B$304,B252,$E$5:$E$304,E252)&gt;=IFERROR(INDEX(Tenancies!$G$5:$G$50,MATCH(B252,Tenancies!$A$5:$A$50,0)),0),"Rent complete","Partial"))</f>
        <v/>
      </c>
      <c r="J252" s="28"/>
    </row>
    <row r="253" customFormat="false" ht="15" hidden="false" customHeight="false" outlineLevel="0" collapsed="false">
      <c r="A253" s="27"/>
      <c r="B253" s="28"/>
      <c r="C253" s="29" t="str">
        <f aca="false">IF(B253="","",IFERROR(INDEX(Tenancies!$B$5:$B$50,MATCH(B253,Tenancies!$A$5:$A$50,0)),"Check ID"))</f>
        <v/>
      </c>
      <c r="D253" s="29" t="str">
        <f aca="false">IF(B253="","",IFERROR(INDEX(Tenancies!$D$5:$D$50,MATCH(B253,Tenancies!$A$5:$A$50,0)),"Check ID"))</f>
        <v/>
      </c>
      <c r="E253" s="30"/>
      <c r="F253" s="31"/>
      <c r="G253" s="31"/>
      <c r="H253" s="28"/>
      <c r="I253" s="32" t="str">
        <f aca="false">IF(OR(B253="",E253=""),"",IF(SUMIFS($F$5:$F$304,$B$5:$B$304,B253,$E$5:$E$304,E253)&gt;=IFERROR(INDEX(Tenancies!$G$5:$G$50,MATCH(B253,Tenancies!$A$5:$A$50,0)),0),"Rent complete","Partial"))</f>
        <v/>
      </c>
      <c r="J253" s="28"/>
    </row>
    <row r="254" customFormat="false" ht="15" hidden="false" customHeight="false" outlineLevel="0" collapsed="false">
      <c r="A254" s="27"/>
      <c r="B254" s="28"/>
      <c r="C254" s="29" t="str">
        <f aca="false">IF(B254="","",IFERROR(INDEX(Tenancies!$B$5:$B$50,MATCH(B254,Tenancies!$A$5:$A$50,0)),"Check ID"))</f>
        <v/>
      </c>
      <c r="D254" s="29" t="str">
        <f aca="false">IF(B254="","",IFERROR(INDEX(Tenancies!$D$5:$D$50,MATCH(B254,Tenancies!$A$5:$A$50,0)),"Check ID"))</f>
        <v/>
      </c>
      <c r="E254" s="30"/>
      <c r="F254" s="31"/>
      <c r="G254" s="31"/>
      <c r="H254" s="28"/>
      <c r="I254" s="32" t="str">
        <f aca="false">IF(OR(B254="",E254=""),"",IF(SUMIFS($F$5:$F$304,$B$5:$B$304,B254,$E$5:$E$304,E254)&gt;=IFERROR(INDEX(Tenancies!$G$5:$G$50,MATCH(B254,Tenancies!$A$5:$A$50,0)),0),"Rent complete","Partial"))</f>
        <v/>
      </c>
      <c r="J254" s="28"/>
    </row>
    <row r="255" customFormat="false" ht="15" hidden="false" customHeight="false" outlineLevel="0" collapsed="false">
      <c r="A255" s="27"/>
      <c r="B255" s="28"/>
      <c r="C255" s="29" t="str">
        <f aca="false">IF(B255="","",IFERROR(INDEX(Tenancies!$B$5:$B$50,MATCH(B255,Tenancies!$A$5:$A$50,0)),"Check ID"))</f>
        <v/>
      </c>
      <c r="D255" s="29" t="str">
        <f aca="false">IF(B255="","",IFERROR(INDEX(Tenancies!$D$5:$D$50,MATCH(B255,Tenancies!$A$5:$A$50,0)),"Check ID"))</f>
        <v/>
      </c>
      <c r="E255" s="30"/>
      <c r="F255" s="31"/>
      <c r="G255" s="31"/>
      <c r="H255" s="28"/>
      <c r="I255" s="32" t="str">
        <f aca="false">IF(OR(B255="",E255=""),"",IF(SUMIFS($F$5:$F$304,$B$5:$B$304,B255,$E$5:$E$304,E255)&gt;=IFERROR(INDEX(Tenancies!$G$5:$G$50,MATCH(B255,Tenancies!$A$5:$A$50,0)),0),"Rent complete","Partial"))</f>
        <v/>
      </c>
      <c r="J255" s="28"/>
    </row>
    <row r="256" customFormat="false" ht="15" hidden="false" customHeight="false" outlineLevel="0" collapsed="false">
      <c r="A256" s="27"/>
      <c r="B256" s="28"/>
      <c r="C256" s="29" t="str">
        <f aca="false">IF(B256="","",IFERROR(INDEX(Tenancies!$B$5:$B$50,MATCH(B256,Tenancies!$A$5:$A$50,0)),"Check ID"))</f>
        <v/>
      </c>
      <c r="D256" s="29" t="str">
        <f aca="false">IF(B256="","",IFERROR(INDEX(Tenancies!$D$5:$D$50,MATCH(B256,Tenancies!$A$5:$A$50,0)),"Check ID"))</f>
        <v/>
      </c>
      <c r="E256" s="30"/>
      <c r="F256" s="31"/>
      <c r="G256" s="31"/>
      <c r="H256" s="28"/>
      <c r="I256" s="32" t="str">
        <f aca="false">IF(OR(B256="",E256=""),"",IF(SUMIFS($F$5:$F$304,$B$5:$B$304,B256,$E$5:$E$304,E256)&gt;=IFERROR(INDEX(Tenancies!$G$5:$G$50,MATCH(B256,Tenancies!$A$5:$A$50,0)),0),"Rent complete","Partial"))</f>
        <v/>
      </c>
      <c r="J256" s="28"/>
    </row>
    <row r="257" customFormat="false" ht="15" hidden="false" customHeight="false" outlineLevel="0" collapsed="false">
      <c r="A257" s="27"/>
      <c r="B257" s="28"/>
      <c r="C257" s="29" t="str">
        <f aca="false">IF(B257="","",IFERROR(INDEX(Tenancies!$B$5:$B$50,MATCH(B257,Tenancies!$A$5:$A$50,0)),"Check ID"))</f>
        <v/>
      </c>
      <c r="D257" s="29" t="str">
        <f aca="false">IF(B257="","",IFERROR(INDEX(Tenancies!$D$5:$D$50,MATCH(B257,Tenancies!$A$5:$A$50,0)),"Check ID"))</f>
        <v/>
      </c>
      <c r="E257" s="30"/>
      <c r="F257" s="31"/>
      <c r="G257" s="31"/>
      <c r="H257" s="28"/>
      <c r="I257" s="32" t="str">
        <f aca="false">IF(OR(B257="",E257=""),"",IF(SUMIFS($F$5:$F$304,$B$5:$B$304,B257,$E$5:$E$304,E257)&gt;=IFERROR(INDEX(Tenancies!$G$5:$G$50,MATCH(B257,Tenancies!$A$5:$A$50,0)),0),"Rent complete","Partial"))</f>
        <v/>
      </c>
      <c r="J257" s="28"/>
    </row>
    <row r="258" customFormat="false" ht="15" hidden="false" customHeight="false" outlineLevel="0" collapsed="false">
      <c r="A258" s="27"/>
      <c r="B258" s="28"/>
      <c r="C258" s="29" t="str">
        <f aca="false">IF(B258="","",IFERROR(INDEX(Tenancies!$B$5:$B$50,MATCH(B258,Tenancies!$A$5:$A$50,0)),"Check ID"))</f>
        <v/>
      </c>
      <c r="D258" s="29" t="str">
        <f aca="false">IF(B258="","",IFERROR(INDEX(Tenancies!$D$5:$D$50,MATCH(B258,Tenancies!$A$5:$A$50,0)),"Check ID"))</f>
        <v/>
      </c>
      <c r="E258" s="30"/>
      <c r="F258" s="31"/>
      <c r="G258" s="31"/>
      <c r="H258" s="28"/>
      <c r="I258" s="32" t="str">
        <f aca="false">IF(OR(B258="",E258=""),"",IF(SUMIFS($F$5:$F$304,$B$5:$B$304,B258,$E$5:$E$304,E258)&gt;=IFERROR(INDEX(Tenancies!$G$5:$G$50,MATCH(B258,Tenancies!$A$5:$A$50,0)),0),"Rent complete","Partial"))</f>
        <v/>
      </c>
      <c r="J258" s="28"/>
    </row>
    <row r="259" customFormat="false" ht="15" hidden="false" customHeight="false" outlineLevel="0" collapsed="false">
      <c r="A259" s="27"/>
      <c r="B259" s="28"/>
      <c r="C259" s="29" t="str">
        <f aca="false">IF(B259="","",IFERROR(INDEX(Tenancies!$B$5:$B$50,MATCH(B259,Tenancies!$A$5:$A$50,0)),"Check ID"))</f>
        <v/>
      </c>
      <c r="D259" s="29" t="str">
        <f aca="false">IF(B259="","",IFERROR(INDEX(Tenancies!$D$5:$D$50,MATCH(B259,Tenancies!$A$5:$A$50,0)),"Check ID"))</f>
        <v/>
      </c>
      <c r="E259" s="30"/>
      <c r="F259" s="31"/>
      <c r="G259" s="31"/>
      <c r="H259" s="28"/>
      <c r="I259" s="32" t="str">
        <f aca="false">IF(OR(B259="",E259=""),"",IF(SUMIFS($F$5:$F$304,$B$5:$B$304,B259,$E$5:$E$304,E259)&gt;=IFERROR(INDEX(Tenancies!$G$5:$G$50,MATCH(B259,Tenancies!$A$5:$A$50,0)),0),"Rent complete","Partial"))</f>
        <v/>
      </c>
      <c r="J259" s="28"/>
    </row>
    <row r="260" customFormat="false" ht="15" hidden="false" customHeight="false" outlineLevel="0" collapsed="false">
      <c r="A260" s="27"/>
      <c r="B260" s="28"/>
      <c r="C260" s="29" t="str">
        <f aca="false">IF(B260="","",IFERROR(INDEX(Tenancies!$B$5:$B$50,MATCH(B260,Tenancies!$A$5:$A$50,0)),"Check ID"))</f>
        <v/>
      </c>
      <c r="D260" s="29" t="str">
        <f aca="false">IF(B260="","",IFERROR(INDEX(Tenancies!$D$5:$D$50,MATCH(B260,Tenancies!$A$5:$A$50,0)),"Check ID"))</f>
        <v/>
      </c>
      <c r="E260" s="30"/>
      <c r="F260" s="31"/>
      <c r="G260" s="31"/>
      <c r="H260" s="28"/>
      <c r="I260" s="32" t="str">
        <f aca="false">IF(OR(B260="",E260=""),"",IF(SUMIFS($F$5:$F$304,$B$5:$B$304,B260,$E$5:$E$304,E260)&gt;=IFERROR(INDEX(Tenancies!$G$5:$G$50,MATCH(B260,Tenancies!$A$5:$A$50,0)),0),"Rent complete","Partial"))</f>
        <v/>
      </c>
      <c r="J260" s="28"/>
    </row>
    <row r="261" customFormat="false" ht="15" hidden="false" customHeight="false" outlineLevel="0" collapsed="false">
      <c r="A261" s="27"/>
      <c r="B261" s="28"/>
      <c r="C261" s="29" t="str">
        <f aca="false">IF(B261="","",IFERROR(INDEX(Tenancies!$B$5:$B$50,MATCH(B261,Tenancies!$A$5:$A$50,0)),"Check ID"))</f>
        <v/>
      </c>
      <c r="D261" s="29" t="str">
        <f aca="false">IF(B261="","",IFERROR(INDEX(Tenancies!$D$5:$D$50,MATCH(B261,Tenancies!$A$5:$A$50,0)),"Check ID"))</f>
        <v/>
      </c>
      <c r="E261" s="30"/>
      <c r="F261" s="31"/>
      <c r="G261" s="31"/>
      <c r="H261" s="28"/>
      <c r="I261" s="32" t="str">
        <f aca="false">IF(OR(B261="",E261=""),"",IF(SUMIFS($F$5:$F$304,$B$5:$B$304,B261,$E$5:$E$304,E261)&gt;=IFERROR(INDEX(Tenancies!$G$5:$G$50,MATCH(B261,Tenancies!$A$5:$A$50,0)),0),"Rent complete","Partial"))</f>
        <v/>
      </c>
      <c r="J261" s="28"/>
    </row>
    <row r="262" customFormat="false" ht="15" hidden="false" customHeight="false" outlineLevel="0" collapsed="false">
      <c r="A262" s="27"/>
      <c r="B262" s="28"/>
      <c r="C262" s="29" t="str">
        <f aca="false">IF(B262="","",IFERROR(INDEX(Tenancies!$B$5:$B$50,MATCH(B262,Tenancies!$A$5:$A$50,0)),"Check ID"))</f>
        <v/>
      </c>
      <c r="D262" s="29" t="str">
        <f aca="false">IF(B262="","",IFERROR(INDEX(Tenancies!$D$5:$D$50,MATCH(B262,Tenancies!$A$5:$A$50,0)),"Check ID"))</f>
        <v/>
      </c>
      <c r="E262" s="30"/>
      <c r="F262" s="31"/>
      <c r="G262" s="31"/>
      <c r="H262" s="28"/>
      <c r="I262" s="32" t="str">
        <f aca="false">IF(OR(B262="",E262=""),"",IF(SUMIFS($F$5:$F$304,$B$5:$B$304,B262,$E$5:$E$304,E262)&gt;=IFERROR(INDEX(Tenancies!$G$5:$G$50,MATCH(B262,Tenancies!$A$5:$A$50,0)),0),"Rent complete","Partial"))</f>
        <v/>
      </c>
      <c r="J262" s="28"/>
    </row>
    <row r="263" customFormat="false" ht="15" hidden="false" customHeight="false" outlineLevel="0" collapsed="false">
      <c r="A263" s="27"/>
      <c r="B263" s="28"/>
      <c r="C263" s="29" t="str">
        <f aca="false">IF(B263="","",IFERROR(INDEX(Tenancies!$B$5:$B$50,MATCH(B263,Tenancies!$A$5:$A$50,0)),"Check ID"))</f>
        <v/>
      </c>
      <c r="D263" s="29" t="str">
        <f aca="false">IF(B263="","",IFERROR(INDEX(Tenancies!$D$5:$D$50,MATCH(B263,Tenancies!$A$5:$A$50,0)),"Check ID"))</f>
        <v/>
      </c>
      <c r="E263" s="30"/>
      <c r="F263" s="31"/>
      <c r="G263" s="31"/>
      <c r="H263" s="28"/>
      <c r="I263" s="32" t="str">
        <f aca="false">IF(OR(B263="",E263=""),"",IF(SUMIFS($F$5:$F$304,$B$5:$B$304,B263,$E$5:$E$304,E263)&gt;=IFERROR(INDEX(Tenancies!$G$5:$G$50,MATCH(B263,Tenancies!$A$5:$A$50,0)),0),"Rent complete","Partial"))</f>
        <v/>
      </c>
      <c r="J263" s="28"/>
    </row>
    <row r="264" customFormat="false" ht="15" hidden="false" customHeight="false" outlineLevel="0" collapsed="false">
      <c r="A264" s="27"/>
      <c r="B264" s="28"/>
      <c r="C264" s="29" t="str">
        <f aca="false">IF(B264="","",IFERROR(INDEX(Tenancies!$B$5:$B$50,MATCH(B264,Tenancies!$A$5:$A$50,0)),"Check ID"))</f>
        <v/>
      </c>
      <c r="D264" s="29" t="str">
        <f aca="false">IF(B264="","",IFERROR(INDEX(Tenancies!$D$5:$D$50,MATCH(B264,Tenancies!$A$5:$A$50,0)),"Check ID"))</f>
        <v/>
      </c>
      <c r="E264" s="30"/>
      <c r="F264" s="31"/>
      <c r="G264" s="31"/>
      <c r="H264" s="28"/>
      <c r="I264" s="32" t="str">
        <f aca="false">IF(OR(B264="",E264=""),"",IF(SUMIFS($F$5:$F$304,$B$5:$B$304,B264,$E$5:$E$304,E264)&gt;=IFERROR(INDEX(Tenancies!$G$5:$G$50,MATCH(B264,Tenancies!$A$5:$A$50,0)),0),"Rent complete","Partial"))</f>
        <v/>
      </c>
      <c r="J264" s="28"/>
    </row>
    <row r="265" customFormat="false" ht="15" hidden="false" customHeight="false" outlineLevel="0" collapsed="false">
      <c r="A265" s="27"/>
      <c r="B265" s="28"/>
      <c r="C265" s="29" t="str">
        <f aca="false">IF(B265="","",IFERROR(INDEX(Tenancies!$B$5:$B$50,MATCH(B265,Tenancies!$A$5:$A$50,0)),"Check ID"))</f>
        <v/>
      </c>
      <c r="D265" s="29" t="str">
        <f aca="false">IF(B265="","",IFERROR(INDEX(Tenancies!$D$5:$D$50,MATCH(B265,Tenancies!$A$5:$A$50,0)),"Check ID"))</f>
        <v/>
      </c>
      <c r="E265" s="30"/>
      <c r="F265" s="31"/>
      <c r="G265" s="31"/>
      <c r="H265" s="28"/>
      <c r="I265" s="32" t="str">
        <f aca="false">IF(OR(B265="",E265=""),"",IF(SUMIFS($F$5:$F$304,$B$5:$B$304,B265,$E$5:$E$304,E265)&gt;=IFERROR(INDEX(Tenancies!$G$5:$G$50,MATCH(B265,Tenancies!$A$5:$A$50,0)),0),"Rent complete","Partial"))</f>
        <v/>
      </c>
      <c r="J265" s="28"/>
    </row>
    <row r="266" customFormat="false" ht="15" hidden="false" customHeight="false" outlineLevel="0" collapsed="false">
      <c r="A266" s="27"/>
      <c r="B266" s="28"/>
      <c r="C266" s="29" t="str">
        <f aca="false">IF(B266="","",IFERROR(INDEX(Tenancies!$B$5:$B$50,MATCH(B266,Tenancies!$A$5:$A$50,0)),"Check ID"))</f>
        <v/>
      </c>
      <c r="D266" s="29" t="str">
        <f aca="false">IF(B266="","",IFERROR(INDEX(Tenancies!$D$5:$D$50,MATCH(B266,Tenancies!$A$5:$A$50,0)),"Check ID"))</f>
        <v/>
      </c>
      <c r="E266" s="30"/>
      <c r="F266" s="31"/>
      <c r="G266" s="31"/>
      <c r="H266" s="28"/>
      <c r="I266" s="32" t="str">
        <f aca="false">IF(OR(B266="",E266=""),"",IF(SUMIFS($F$5:$F$304,$B$5:$B$304,B266,$E$5:$E$304,E266)&gt;=IFERROR(INDEX(Tenancies!$G$5:$G$50,MATCH(B266,Tenancies!$A$5:$A$50,0)),0),"Rent complete","Partial"))</f>
        <v/>
      </c>
      <c r="J266" s="28"/>
    </row>
    <row r="267" customFormat="false" ht="15" hidden="false" customHeight="false" outlineLevel="0" collapsed="false">
      <c r="A267" s="27"/>
      <c r="B267" s="28"/>
      <c r="C267" s="29" t="str">
        <f aca="false">IF(B267="","",IFERROR(INDEX(Tenancies!$B$5:$B$50,MATCH(B267,Tenancies!$A$5:$A$50,0)),"Check ID"))</f>
        <v/>
      </c>
      <c r="D267" s="29" t="str">
        <f aca="false">IF(B267="","",IFERROR(INDEX(Tenancies!$D$5:$D$50,MATCH(B267,Tenancies!$A$5:$A$50,0)),"Check ID"))</f>
        <v/>
      </c>
      <c r="E267" s="30"/>
      <c r="F267" s="31"/>
      <c r="G267" s="31"/>
      <c r="H267" s="28"/>
      <c r="I267" s="32" t="str">
        <f aca="false">IF(OR(B267="",E267=""),"",IF(SUMIFS($F$5:$F$304,$B$5:$B$304,B267,$E$5:$E$304,E267)&gt;=IFERROR(INDEX(Tenancies!$G$5:$G$50,MATCH(B267,Tenancies!$A$5:$A$50,0)),0),"Rent complete","Partial"))</f>
        <v/>
      </c>
      <c r="J267" s="28"/>
    </row>
    <row r="268" customFormat="false" ht="15" hidden="false" customHeight="false" outlineLevel="0" collapsed="false">
      <c r="A268" s="27"/>
      <c r="B268" s="28"/>
      <c r="C268" s="29" t="str">
        <f aca="false">IF(B268="","",IFERROR(INDEX(Tenancies!$B$5:$B$50,MATCH(B268,Tenancies!$A$5:$A$50,0)),"Check ID"))</f>
        <v/>
      </c>
      <c r="D268" s="29" t="str">
        <f aca="false">IF(B268="","",IFERROR(INDEX(Tenancies!$D$5:$D$50,MATCH(B268,Tenancies!$A$5:$A$50,0)),"Check ID"))</f>
        <v/>
      </c>
      <c r="E268" s="30"/>
      <c r="F268" s="31"/>
      <c r="G268" s="31"/>
      <c r="H268" s="28"/>
      <c r="I268" s="32" t="str">
        <f aca="false">IF(OR(B268="",E268=""),"",IF(SUMIFS($F$5:$F$304,$B$5:$B$304,B268,$E$5:$E$304,E268)&gt;=IFERROR(INDEX(Tenancies!$G$5:$G$50,MATCH(B268,Tenancies!$A$5:$A$50,0)),0),"Rent complete","Partial"))</f>
        <v/>
      </c>
      <c r="J268" s="28"/>
    </row>
    <row r="269" customFormat="false" ht="15" hidden="false" customHeight="false" outlineLevel="0" collapsed="false">
      <c r="A269" s="27"/>
      <c r="B269" s="28"/>
      <c r="C269" s="29" t="str">
        <f aca="false">IF(B269="","",IFERROR(INDEX(Tenancies!$B$5:$B$50,MATCH(B269,Tenancies!$A$5:$A$50,0)),"Check ID"))</f>
        <v/>
      </c>
      <c r="D269" s="29" t="str">
        <f aca="false">IF(B269="","",IFERROR(INDEX(Tenancies!$D$5:$D$50,MATCH(B269,Tenancies!$A$5:$A$50,0)),"Check ID"))</f>
        <v/>
      </c>
      <c r="E269" s="30"/>
      <c r="F269" s="31"/>
      <c r="G269" s="31"/>
      <c r="H269" s="28"/>
      <c r="I269" s="32" t="str">
        <f aca="false">IF(OR(B269="",E269=""),"",IF(SUMIFS($F$5:$F$304,$B$5:$B$304,B269,$E$5:$E$304,E269)&gt;=IFERROR(INDEX(Tenancies!$G$5:$G$50,MATCH(B269,Tenancies!$A$5:$A$50,0)),0),"Rent complete","Partial"))</f>
        <v/>
      </c>
      <c r="J269" s="28"/>
    </row>
    <row r="270" customFormat="false" ht="15" hidden="false" customHeight="false" outlineLevel="0" collapsed="false">
      <c r="A270" s="27"/>
      <c r="B270" s="28"/>
      <c r="C270" s="29" t="str">
        <f aca="false">IF(B270="","",IFERROR(INDEX(Tenancies!$B$5:$B$50,MATCH(B270,Tenancies!$A$5:$A$50,0)),"Check ID"))</f>
        <v/>
      </c>
      <c r="D270" s="29" t="str">
        <f aca="false">IF(B270="","",IFERROR(INDEX(Tenancies!$D$5:$D$50,MATCH(B270,Tenancies!$A$5:$A$50,0)),"Check ID"))</f>
        <v/>
      </c>
      <c r="E270" s="30"/>
      <c r="F270" s="31"/>
      <c r="G270" s="31"/>
      <c r="H270" s="28"/>
      <c r="I270" s="32" t="str">
        <f aca="false">IF(OR(B270="",E270=""),"",IF(SUMIFS($F$5:$F$304,$B$5:$B$304,B270,$E$5:$E$304,E270)&gt;=IFERROR(INDEX(Tenancies!$G$5:$G$50,MATCH(B270,Tenancies!$A$5:$A$50,0)),0),"Rent complete","Partial"))</f>
        <v/>
      </c>
      <c r="J270" s="28"/>
    </row>
    <row r="271" customFormat="false" ht="15" hidden="false" customHeight="false" outlineLevel="0" collapsed="false">
      <c r="A271" s="27"/>
      <c r="B271" s="28"/>
      <c r="C271" s="29" t="str">
        <f aca="false">IF(B271="","",IFERROR(INDEX(Tenancies!$B$5:$B$50,MATCH(B271,Tenancies!$A$5:$A$50,0)),"Check ID"))</f>
        <v/>
      </c>
      <c r="D271" s="29" t="str">
        <f aca="false">IF(B271="","",IFERROR(INDEX(Tenancies!$D$5:$D$50,MATCH(B271,Tenancies!$A$5:$A$50,0)),"Check ID"))</f>
        <v/>
      </c>
      <c r="E271" s="30"/>
      <c r="F271" s="31"/>
      <c r="G271" s="31"/>
      <c r="H271" s="28"/>
      <c r="I271" s="32" t="str">
        <f aca="false">IF(OR(B271="",E271=""),"",IF(SUMIFS($F$5:$F$304,$B$5:$B$304,B271,$E$5:$E$304,E271)&gt;=IFERROR(INDEX(Tenancies!$G$5:$G$50,MATCH(B271,Tenancies!$A$5:$A$50,0)),0),"Rent complete","Partial"))</f>
        <v/>
      </c>
      <c r="J271" s="28"/>
    </row>
    <row r="272" customFormat="false" ht="15" hidden="false" customHeight="false" outlineLevel="0" collapsed="false">
      <c r="A272" s="27"/>
      <c r="B272" s="28"/>
      <c r="C272" s="29" t="str">
        <f aca="false">IF(B272="","",IFERROR(INDEX(Tenancies!$B$5:$B$50,MATCH(B272,Tenancies!$A$5:$A$50,0)),"Check ID"))</f>
        <v/>
      </c>
      <c r="D272" s="29" t="str">
        <f aca="false">IF(B272="","",IFERROR(INDEX(Tenancies!$D$5:$D$50,MATCH(B272,Tenancies!$A$5:$A$50,0)),"Check ID"))</f>
        <v/>
      </c>
      <c r="E272" s="30"/>
      <c r="F272" s="31"/>
      <c r="G272" s="31"/>
      <c r="H272" s="28"/>
      <c r="I272" s="32" t="str">
        <f aca="false">IF(OR(B272="",E272=""),"",IF(SUMIFS($F$5:$F$304,$B$5:$B$304,B272,$E$5:$E$304,E272)&gt;=IFERROR(INDEX(Tenancies!$G$5:$G$50,MATCH(B272,Tenancies!$A$5:$A$50,0)),0),"Rent complete","Partial"))</f>
        <v/>
      </c>
      <c r="J272" s="28"/>
    </row>
    <row r="273" customFormat="false" ht="15" hidden="false" customHeight="false" outlineLevel="0" collapsed="false">
      <c r="A273" s="27"/>
      <c r="B273" s="28"/>
      <c r="C273" s="29" t="str">
        <f aca="false">IF(B273="","",IFERROR(INDEX(Tenancies!$B$5:$B$50,MATCH(B273,Tenancies!$A$5:$A$50,0)),"Check ID"))</f>
        <v/>
      </c>
      <c r="D273" s="29" t="str">
        <f aca="false">IF(B273="","",IFERROR(INDEX(Tenancies!$D$5:$D$50,MATCH(B273,Tenancies!$A$5:$A$50,0)),"Check ID"))</f>
        <v/>
      </c>
      <c r="E273" s="30"/>
      <c r="F273" s="31"/>
      <c r="G273" s="31"/>
      <c r="H273" s="28"/>
      <c r="I273" s="32" t="str">
        <f aca="false">IF(OR(B273="",E273=""),"",IF(SUMIFS($F$5:$F$304,$B$5:$B$304,B273,$E$5:$E$304,E273)&gt;=IFERROR(INDEX(Tenancies!$G$5:$G$50,MATCH(B273,Tenancies!$A$5:$A$50,0)),0),"Rent complete","Partial"))</f>
        <v/>
      </c>
      <c r="J273" s="28"/>
    </row>
    <row r="274" customFormat="false" ht="15" hidden="false" customHeight="false" outlineLevel="0" collapsed="false">
      <c r="A274" s="27"/>
      <c r="B274" s="28"/>
      <c r="C274" s="29" t="str">
        <f aca="false">IF(B274="","",IFERROR(INDEX(Tenancies!$B$5:$B$50,MATCH(B274,Tenancies!$A$5:$A$50,0)),"Check ID"))</f>
        <v/>
      </c>
      <c r="D274" s="29" t="str">
        <f aca="false">IF(B274="","",IFERROR(INDEX(Tenancies!$D$5:$D$50,MATCH(B274,Tenancies!$A$5:$A$50,0)),"Check ID"))</f>
        <v/>
      </c>
      <c r="E274" s="30"/>
      <c r="F274" s="31"/>
      <c r="G274" s="31"/>
      <c r="H274" s="28"/>
      <c r="I274" s="32" t="str">
        <f aca="false">IF(OR(B274="",E274=""),"",IF(SUMIFS($F$5:$F$304,$B$5:$B$304,B274,$E$5:$E$304,E274)&gt;=IFERROR(INDEX(Tenancies!$G$5:$G$50,MATCH(B274,Tenancies!$A$5:$A$50,0)),0),"Rent complete","Partial"))</f>
        <v/>
      </c>
      <c r="J274" s="28"/>
    </row>
    <row r="275" customFormat="false" ht="15" hidden="false" customHeight="false" outlineLevel="0" collapsed="false">
      <c r="A275" s="27"/>
      <c r="B275" s="28"/>
      <c r="C275" s="29" t="str">
        <f aca="false">IF(B275="","",IFERROR(INDEX(Tenancies!$B$5:$B$50,MATCH(B275,Tenancies!$A$5:$A$50,0)),"Check ID"))</f>
        <v/>
      </c>
      <c r="D275" s="29" t="str">
        <f aca="false">IF(B275="","",IFERROR(INDEX(Tenancies!$D$5:$D$50,MATCH(B275,Tenancies!$A$5:$A$50,0)),"Check ID"))</f>
        <v/>
      </c>
      <c r="E275" s="30"/>
      <c r="F275" s="31"/>
      <c r="G275" s="31"/>
      <c r="H275" s="28"/>
      <c r="I275" s="32" t="str">
        <f aca="false">IF(OR(B275="",E275=""),"",IF(SUMIFS($F$5:$F$304,$B$5:$B$304,B275,$E$5:$E$304,E275)&gt;=IFERROR(INDEX(Tenancies!$G$5:$G$50,MATCH(B275,Tenancies!$A$5:$A$50,0)),0),"Rent complete","Partial"))</f>
        <v/>
      </c>
      <c r="J275" s="28"/>
    </row>
    <row r="276" customFormat="false" ht="15" hidden="false" customHeight="false" outlineLevel="0" collapsed="false">
      <c r="A276" s="27"/>
      <c r="B276" s="28"/>
      <c r="C276" s="29" t="str">
        <f aca="false">IF(B276="","",IFERROR(INDEX(Tenancies!$B$5:$B$50,MATCH(B276,Tenancies!$A$5:$A$50,0)),"Check ID"))</f>
        <v/>
      </c>
      <c r="D276" s="29" t="str">
        <f aca="false">IF(B276="","",IFERROR(INDEX(Tenancies!$D$5:$D$50,MATCH(B276,Tenancies!$A$5:$A$50,0)),"Check ID"))</f>
        <v/>
      </c>
      <c r="E276" s="30"/>
      <c r="F276" s="31"/>
      <c r="G276" s="31"/>
      <c r="H276" s="28"/>
      <c r="I276" s="32" t="str">
        <f aca="false">IF(OR(B276="",E276=""),"",IF(SUMIFS($F$5:$F$304,$B$5:$B$304,B276,$E$5:$E$304,E276)&gt;=IFERROR(INDEX(Tenancies!$G$5:$G$50,MATCH(B276,Tenancies!$A$5:$A$50,0)),0),"Rent complete","Partial"))</f>
        <v/>
      </c>
      <c r="J276" s="28"/>
    </row>
    <row r="277" customFormat="false" ht="15" hidden="false" customHeight="false" outlineLevel="0" collapsed="false">
      <c r="A277" s="27"/>
      <c r="B277" s="28"/>
      <c r="C277" s="29" t="str">
        <f aca="false">IF(B277="","",IFERROR(INDEX(Tenancies!$B$5:$B$50,MATCH(B277,Tenancies!$A$5:$A$50,0)),"Check ID"))</f>
        <v/>
      </c>
      <c r="D277" s="29" t="str">
        <f aca="false">IF(B277="","",IFERROR(INDEX(Tenancies!$D$5:$D$50,MATCH(B277,Tenancies!$A$5:$A$50,0)),"Check ID"))</f>
        <v/>
      </c>
      <c r="E277" s="30"/>
      <c r="F277" s="31"/>
      <c r="G277" s="31"/>
      <c r="H277" s="28"/>
      <c r="I277" s="32" t="str">
        <f aca="false">IF(OR(B277="",E277=""),"",IF(SUMIFS($F$5:$F$304,$B$5:$B$304,B277,$E$5:$E$304,E277)&gt;=IFERROR(INDEX(Tenancies!$G$5:$G$50,MATCH(B277,Tenancies!$A$5:$A$50,0)),0),"Rent complete","Partial"))</f>
        <v/>
      </c>
      <c r="J277" s="28"/>
    </row>
    <row r="278" customFormat="false" ht="15" hidden="false" customHeight="false" outlineLevel="0" collapsed="false">
      <c r="A278" s="27"/>
      <c r="B278" s="28"/>
      <c r="C278" s="29" t="str">
        <f aca="false">IF(B278="","",IFERROR(INDEX(Tenancies!$B$5:$B$50,MATCH(B278,Tenancies!$A$5:$A$50,0)),"Check ID"))</f>
        <v/>
      </c>
      <c r="D278" s="29" t="str">
        <f aca="false">IF(B278="","",IFERROR(INDEX(Tenancies!$D$5:$D$50,MATCH(B278,Tenancies!$A$5:$A$50,0)),"Check ID"))</f>
        <v/>
      </c>
      <c r="E278" s="30"/>
      <c r="F278" s="31"/>
      <c r="G278" s="31"/>
      <c r="H278" s="28"/>
      <c r="I278" s="32" t="str">
        <f aca="false">IF(OR(B278="",E278=""),"",IF(SUMIFS($F$5:$F$304,$B$5:$B$304,B278,$E$5:$E$304,E278)&gt;=IFERROR(INDEX(Tenancies!$G$5:$G$50,MATCH(B278,Tenancies!$A$5:$A$50,0)),0),"Rent complete","Partial"))</f>
        <v/>
      </c>
      <c r="J278" s="28"/>
    </row>
    <row r="279" customFormat="false" ht="15" hidden="false" customHeight="false" outlineLevel="0" collapsed="false">
      <c r="A279" s="27"/>
      <c r="B279" s="28"/>
      <c r="C279" s="29" t="str">
        <f aca="false">IF(B279="","",IFERROR(INDEX(Tenancies!$B$5:$B$50,MATCH(B279,Tenancies!$A$5:$A$50,0)),"Check ID"))</f>
        <v/>
      </c>
      <c r="D279" s="29" t="str">
        <f aca="false">IF(B279="","",IFERROR(INDEX(Tenancies!$D$5:$D$50,MATCH(B279,Tenancies!$A$5:$A$50,0)),"Check ID"))</f>
        <v/>
      </c>
      <c r="E279" s="30"/>
      <c r="F279" s="31"/>
      <c r="G279" s="31"/>
      <c r="H279" s="28"/>
      <c r="I279" s="32" t="str">
        <f aca="false">IF(OR(B279="",E279=""),"",IF(SUMIFS($F$5:$F$304,$B$5:$B$304,B279,$E$5:$E$304,E279)&gt;=IFERROR(INDEX(Tenancies!$G$5:$G$50,MATCH(B279,Tenancies!$A$5:$A$50,0)),0),"Rent complete","Partial"))</f>
        <v/>
      </c>
      <c r="J279" s="28"/>
    </row>
    <row r="280" customFormat="false" ht="15" hidden="false" customHeight="false" outlineLevel="0" collapsed="false">
      <c r="A280" s="27"/>
      <c r="B280" s="28"/>
      <c r="C280" s="29" t="str">
        <f aca="false">IF(B280="","",IFERROR(INDEX(Tenancies!$B$5:$B$50,MATCH(B280,Tenancies!$A$5:$A$50,0)),"Check ID"))</f>
        <v/>
      </c>
      <c r="D280" s="29" t="str">
        <f aca="false">IF(B280="","",IFERROR(INDEX(Tenancies!$D$5:$D$50,MATCH(B280,Tenancies!$A$5:$A$50,0)),"Check ID"))</f>
        <v/>
      </c>
      <c r="E280" s="30"/>
      <c r="F280" s="31"/>
      <c r="G280" s="31"/>
      <c r="H280" s="28"/>
      <c r="I280" s="32" t="str">
        <f aca="false">IF(OR(B280="",E280=""),"",IF(SUMIFS($F$5:$F$304,$B$5:$B$304,B280,$E$5:$E$304,E280)&gt;=IFERROR(INDEX(Tenancies!$G$5:$G$50,MATCH(B280,Tenancies!$A$5:$A$50,0)),0),"Rent complete","Partial"))</f>
        <v/>
      </c>
      <c r="J280" s="28"/>
    </row>
    <row r="281" customFormat="false" ht="15" hidden="false" customHeight="false" outlineLevel="0" collapsed="false">
      <c r="A281" s="27"/>
      <c r="B281" s="28"/>
      <c r="C281" s="29" t="str">
        <f aca="false">IF(B281="","",IFERROR(INDEX(Tenancies!$B$5:$B$50,MATCH(B281,Tenancies!$A$5:$A$50,0)),"Check ID"))</f>
        <v/>
      </c>
      <c r="D281" s="29" t="str">
        <f aca="false">IF(B281="","",IFERROR(INDEX(Tenancies!$D$5:$D$50,MATCH(B281,Tenancies!$A$5:$A$50,0)),"Check ID"))</f>
        <v/>
      </c>
      <c r="E281" s="30"/>
      <c r="F281" s="31"/>
      <c r="G281" s="31"/>
      <c r="H281" s="28"/>
      <c r="I281" s="32" t="str">
        <f aca="false">IF(OR(B281="",E281=""),"",IF(SUMIFS($F$5:$F$304,$B$5:$B$304,B281,$E$5:$E$304,E281)&gt;=IFERROR(INDEX(Tenancies!$G$5:$G$50,MATCH(B281,Tenancies!$A$5:$A$50,0)),0),"Rent complete","Partial"))</f>
        <v/>
      </c>
      <c r="J281" s="28"/>
    </row>
    <row r="282" customFormat="false" ht="15" hidden="false" customHeight="false" outlineLevel="0" collapsed="false">
      <c r="A282" s="27"/>
      <c r="B282" s="28"/>
      <c r="C282" s="29" t="str">
        <f aca="false">IF(B282="","",IFERROR(INDEX(Tenancies!$B$5:$B$50,MATCH(B282,Tenancies!$A$5:$A$50,0)),"Check ID"))</f>
        <v/>
      </c>
      <c r="D282" s="29" t="str">
        <f aca="false">IF(B282="","",IFERROR(INDEX(Tenancies!$D$5:$D$50,MATCH(B282,Tenancies!$A$5:$A$50,0)),"Check ID"))</f>
        <v/>
      </c>
      <c r="E282" s="30"/>
      <c r="F282" s="31"/>
      <c r="G282" s="31"/>
      <c r="H282" s="28"/>
      <c r="I282" s="32" t="str">
        <f aca="false">IF(OR(B282="",E282=""),"",IF(SUMIFS($F$5:$F$304,$B$5:$B$304,B282,$E$5:$E$304,E282)&gt;=IFERROR(INDEX(Tenancies!$G$5:$G$50,MATCH(B282,Tenancies!$A$5:$A$50,0)),0),"Rent complete","Partial"))</f>
        <v/>
      </c>
      <c r="J282" s="28"/>
    </row>
    <row r="283" customFormat="false" ht="15" hidden="false" customHeight="false" outlineLevel="0" collapsed="false">
      <c r="A283" s="27"/>
      <c r="B283" s="28"/>
      <c r="C283" s="29" t="str">
        <f aca="false">IF(B283="","",IFERROR(INDEX(Tenancies!$B$5:$B$50,MATCH(B283,Tenancies!$A$5:$A$50,0)),"Check ID"))</f>
        <v/>
      </c>
      <c r="D283" s="29" t="str">
        <f aca="false">IF(B283="","",IFERROR(INDEX(Tenancies!$D$5:$D$50,MATCH(B283,Tenancies!$A$5:$A$50,0)),"Check ID"))</f>
        <v/>
      </c>
      <c r="E283" s="30"/>
      <c r="F283" s="31"/>
      <c r="G283" s="31"/>
      <c r="H283" s="28"/>
      <c r="I283" s="32" t="str">
        <f aca="false">IF(OR(B283="",E283=""),"",IF(SUMIFS($F$5:$F$304,$B$5:$B$304,B283,$E$5:$E$304,E283)&gt;=IFERROR(INDEX(Tenancies!$G$5:$G$50,MATCH(B283,Tenancies!$A$5:$A$50,0)),0),"Rent complete","Partial"))</f>
        <v/>
      </c>
      <c r="J283" s="28"/>
    </row>
    <row r="284" customFormat="false" ht="15" hidden="false" customHeight="false" outlineLevel="0" collapsed="false">
      <c r="A284" s="27"/>
      <c r="B284" s="28"/>
      <c r="C284" s="29" t="str">
        <f aca="false">IF(B284="","",IFERROR(INDEX(Tenancies!$B$5:$B$50,MATCH(B284,Tenancies!$A$5:$A$50,0)),"Check ID"))</f>
        <v/>
      </c>
      <c r="D284" s="29" t="str">
        <f aca="false">IF(B284="","",IFERROR(INDEX(Tenancies!$D$5:$D$50,MATCH(B284,Tenancies!$A$5:$A$50,0)),"Check ID"))</f>
        <v/>
      </c>
      <c r="E284" s="30"/>
      <c r="F284" s="31"/>
      <c r="G284" s="31"/>
      <c r="H284" s="28"/>
      <c r="I284" s="32" t="str">
        <f aca="false">IF(OR(B284="",E284=""),"",IF(SUMIFS($F$5:$F$304,$B$5:$B$304,B284,$E$5:$E$304,E284)&gt;=IFERROR(INDEX(Tenancies!$G$5:$G$50,MATCH(B284,Tenancies!$A$5:$A$50,0)),0),"Rent complete","Partial"))</f>
        <v/>
      </c>
      <c r="J284" s="28"/>
    </row>
    <row r="285" customFormat="false" ht="15" hidden="false" customHeight="false" outlineLevel="0" collapsed="false">
      <c r="A285" s="27"/>
      <c r="B285" s="28"/>
      <c r="C285" s="29" t="str">
        <f aca="false">IF(B285="","",IFERROR(INDEX(Tenancies!$B$5:$B$50,MATCH(B285,Tenancies!$A$5:$A$50,0)),"Check ID"))</f>
        <v/>
      </c>
      <c r="D285" s="29" t="str">
        <f aca="false">IF(B285="","",IFERROR(INDEX(Tenancies!$D$5:$D$50,MATCH(B285,Tenancies!$A$5:$A$50,0)),"Check ID"))</f>
        <v/>
      </c>
      <c r="E285" s="30"/>
      <c r="F285" s="31"/>
      <c r="G285" s="31"/>
      <c r="H285" s="28"/>
      <c r="I285" s="32" t="str">
        <f aca="false">IF(OR(B285="",E285=""),"",IF(SUMIFS($F$5:$F$304,$B$5:$B$304,B285,$E$5:$E$304,E285)&gt;=IFERROR(INDEX(Tenancies!$G$5:$G$50,MATCH(B285,Tenancies!$A$5:$A$50,0)),0),"Rent complete","Partial"))</f>
        <v/>
      </c>
      <c r="J285" s="28"/>
    </row>
    <row r="286" customFormat="false" ht="15" hidden="false" customHeight="false" outlineLevel="0" collapsed="false">
      <c r="A286" s="27"/>
      <c r="B286" s="28"/>
      <c r="C286" s="29" t="str">
        <f aca="false">IF(B286="","",IFERROR(INDEX(Tenancies!$B$5:$B$50,MATCH(B286,Tenancies!$A$5:$A$50,0)),"Check ID"))</f>
        <v/>
      </c>
      <c r="D286" s="29" t="str">
        <f aca="false">IF(B286="","",IFERROR(INDEX(Tenancies!$D$5:$D$50,MATCH(B286,Tenancies!$A$5:$A$50,0)),"Check ID"))</f>
        <v/>
      </c>
      <c r="E286" s="30"/>
      <c r="F286" s="31"/>
      <c r="G286" s="31"/>
      <c r="H286" s="28"/>
      <c r="I286" s="32" t="str">
        <f aca="false">IF(OR(B286="",E286=""),"",IF(SUMIFS($F$5:$F$304,$B$5:$B$304,B286,$E$5:$E$304,E286)&gt;=IFERROR(INDEX(Tenancies!$G$5:$G$50,MATCH(B286,Tenancies!$A$5:$A$50,0)),0),"Rent complete","Partial"))</f>
        <v/>
      </c>
      <c r="J286" s="28"/>
    </row>
    <row r="287" customFormat="false" ht="15" hidden="false" customHeight="false" outlineLevel="0" collapsed="false">
      <c r="A287" s="27"/>
      <c r="B287" s="28"/>
      <c r="C287" s="29" t="str">
        <f aca="false">IF(B287="","",IFERROR(INDEX(Tenancies!$B$5:$B$50,MATCH(B287,Tenancies!$A$5:$A$50,0)),"Check ID"))</f>
        <v/>
      </c>
      <c r="D287" s="29" t="str">
        <f aca="false">IF(B287="","",IFERROR(INDEX(Tenancies!$D$5:$D$50,MATCH(B287,Tenancies!$A$5:$A$50,0)),"Check ID"))</f>
        <v/>
      </c>
      <c r="E287" s="30"/>
      <c r="F287" s="31"/>
      <c r="G287" s="31"/>
      <c r="H287" s="28"/>
      <c r="I287" s="32" t="str">
        <f aca="false">IF(OR(B287="",E287=""),"",IF(SUMIFS($F$5:$F$304,$B$5:$B$304,B287,$E$5:$E$304,E287)&gt;=IFERROR(INDEX(Tenancies!$G$5:$G$50,MATCH(B287,Tenancies!$A$5:$A$50,0)),0),"Rent complete","Partial"))</f>
        <v/>
      </c>
      <c r="J287" s="28"/>
    </row>
    <row r="288" customFormat="false" ht="15" hidden="false" customHeight="false" outlineLevel="0" collapsed="false">
      <c r="A288" s="27"/>
      <c r="B288" s="28"/>
      <c r="C288" s="29" t="str">
        <f aca="false">IF(B288="","",IFERROR(INDEX(Tenancies!$B$5:$B$50,MATCH(B288,Tenancies!$A$5:$A$50,0)),"Check ID"))</f>
        <v/>
      </c>
      <c r="D288" s="29" t="str">
        <f aca="false">IF(B288="","",IFERROR(INDEX(Tenancies!$D$5:$D$50,MATCH(B288,Tenancies!$A$5:$A$50,0)),"Check ID"))</f>
        <v/>
      </c>
      <c r="E288" s="30"/>
      <c r="F288" s="31"/>
      <c r="G288" s="31"/>
      <c r="H288" s="28"/>
      <c r="I288" s="32" t="str">
        <f aca="false">IF(OR(B288="",E288=""),"",IF(SUMIFS($F$5:$F$304,$B$5:$B$304,B288,$E$5:$E$304,E288)&gt;=IFERROR(INDEX(Tenancies!$G$5:$G$50,MATCH(B288,Tenancies!$A$5:$A$50,0)),0),"Rent complete","Partial"))</f>
        <v/>
      </c>
      <c r="J288" s="28"/>
    </row>
    <row r="289" customFormat="false" ht="15" hidden="false" customHeight="false" outlineLevel="0" collapsed="false">
      <c r="A289" s="27"/>
      <c r="B289" s="28"/>
      <c r="C289" s="29" t="str">
        <f aca="false">IF(B289="","",IFERROR(INDEX(Tenancies!$B$5:$B$50,MATCH(B289,Tenancies!$A$5:$A$50,0)),"Check ID"))</f>
        <v/>
      </c>
      <c r="D289" s="29" t="str">
        <f aca="false">IF(B289="","",IFERROR(INDEX(Tenancies!$D$5:$D$50,MATCH(B289,Tenancies!$A$5:$A$50,0)),"Check ID"))</f>
        <v/>
      </c>
      <c r="E289" s="30"/>
      <c r="F289" s="31"/>
      <c r="G289" s="31"/>
      <c r="H289" s="28"/>
      <c r="I289" s="32" t="str">
        <f aca="false">IF(OR(B289="",E289=""),"",IF(SUMIFS($F$5:$F$304,$B$5:$B$304,B289,$E$5:$E$304,E289)&gt;=IFERROR(INDEX(Tenancies!$G$5:$G$50,MATCH(B289,Tenancies!$A$5:$A$50,0)),0),"Rent complete","Partial"))</f>
        <v/>
      </c>
      <c r="J289" s="28"/>
    </row>
    <row r="290" customFormat="false" ht="15" hidden="false" customHeight="false" outlineLevel="0" collapsed="false">
      <c r="A290" s="27"/>
      <c r="B290" s="28"/>
      <c r="C290" s="29" t="str">
        <f aca="false">IF(B290="","",IFERROR(INDEX(Tenancies!$B$5:$B$50,MATCH(B290,Tenancies!$A$5:$A$50,0)),"Check ID"))</f>
        <v/>
      </c>
      <c r="D290" s="29" t="str">
        <f aca="false">IF(B290="","",IFERROR(INDEX(Tenancies!$D$5:$D$50,MATCH(B290,Tenancies!$A$5:$A$50,0)),"Check ID"))</f>
        <v/>
      </c>
      <c r="E290" s="30"/>
      <c r="F290" s="31"/>
      <c r="G290" s="31"/>
      <c r="H290" s="28"/>
      <c r="I290" s="32" t="str">
        <f aca="false">IF(OR(B290="",E290=""),"",IF(SUMIFS($F$5:$F$304,$B$5:$B$304,B290,$E$5:$E$304,E290)&gt;=IFERROR(INDEX(Tenancies!$G$5:$G$50,MATCH(B290,Tenancies!$A$5:$A$50,0)),0),"Rent complete","Partial"))</f>
        <v/>
      </c>
      <c r="J290" s="28"/>
    </row>
    <row r="291" customFormat="false" ht="15" hidden="false" customHeight="false" outlineLevel="0" collapsed="false">
      <c r="A291" s="27"/>
      <c r="B291" s="28"/>
      <c r="C291" s="29" t="str">
        <f aca="false">IF(B291="","",IFERROR(INDEX(Tenancies!$B$5:$B$50,MATCH(B291,Tenancies!$A$5:$A$50,0)),"Check ID"))</f>
        <v/>
      </c>
      <c r="D291" s="29" t="str">
        <f aca="false">IF(B291="","",IFERROR(INDEX(Tenancies!$D$5:$D$50,MATCH(B291,Tenancies!$A$5:$A$50,0)),"Check ID"))</f>
        <v/>
      </c>
      <c r="E291" s="30"/>
      <c r="F291" s="31"/>
      <c r="G291" s="31"/>
      <c r="H291" s="28"/>
      <c r="I291" s="32" t="str">
        <f aca="false">IF(OR(B291="",E291=""),"",IF(SUMIFS($F$5:$F$304,$B$5:$B$304,B291,$E$5:$E$304,E291)&gt;=IFERROR(INDEX(Tenancies!$G$5:$G$50,MATCH(B291,Tenancies!$A$5:$A$50,0)),0),"Rent complete","Partial"))</f>
        <v/>
      </c>
      <c r="J291" s="28"/>
    </row>
    <row r="292" customFormat="false" ht="15" hidden="false" customHeight="false" outlineLevel="0" collapsed="false">
      <c r="A292" s="27"/>
      <c r="B292" s="28"/>
      <c r="C292" s="29" t="str">
        <f aca="false">IF(B292="","",IFERROR(INDEX(Tenancies!$B$5:$B$50,MATCH(B292,Tenancies!$A$5:$A$50,0)),"Check ID"))</f>
        <v/>
      </c>
      <c r="D292" s="29" t="str">
        <f aca="false">IF(B292="","",IFERROR(INDEX(Tenancies!$D$5:$D$50,MATCH(B292,Tenancies!$A$5:$A$50,0)),"Check ID"))</f>
        <v/>
      </c>
      <c r="E292" s="30"/>
      <c r="F292" s="31"/>
      <c r="G292" s="31"/>
      <c r="H292" s="28"/>
      <c r="I292" s="32" t="str">
        <f aca="false">IF(OR(B292="",E292=""),"",IF(SUMIFS($F$5:$F$304,$B$5:$B$304,B292,$E$5:$E$304,E292)&gt;=IFERROR(INDEX(Tenancies!$G$5:$G$50,MATCH(B292,Tenancies!$A$5:$A$50,0)),0),"Rent complete","Partial"))</f>
        <v/>
      </c>
      <c r="J292" s="28"/>
    </row>
    <row r="293" customFormat="false" ht="15" hidden="false" customHeight="false" outlineLevel="0" collapsed="false">
      <c r="A293" s="27"/>
      <c r="B293" s="28"/>
      <c r="C293" s="29" t="str">
        <f aca="false">IF(B293="","",IFERROR(INDEX(Tenancies!$B$5:$B$50,MATCH(B293,Tenancies!$A$5:$A$50,0)),"Check ID"))</f>
        <v/>
      </c>
      <c r="D293" s="29" t="str">
        <f aca="false">IF(B293="","",IFERROR(INDEX(Tenancies!$D$5:$D$50,MATCH(B293,Tenancies!$A$5:$A$50,0)),"Check ID"))</f>
        <v/>
      </c>
      <c r="E293" s="30"/>
      <c r="F293" s="31"/>
      <c r="G293" s="31"/>
      <c r="H293" s="28"/>
      <c r="I293" s="32" t="str">
        <f aca="false">IF(OR(B293="",E293=""),"",IF(SUMIFS($F$5:$F$304,$B$5:$B$304,B293,$E$5:$E$304,E293)&gt;=IFERROR(INDEX(Tenancies!$G$5:$G$50,MATCH(B293,Tenancies!$A$5:$A$50,0)),0),"Rent complete","Partial"))</f>
        <v/>
      </c>
      <c r="J293" s="28"/>
    </row>
    <row r="294" customFormat="false" ht="15" hidden="false" customHeight="false" outlineLevel="0" collapsed="false">
      <c r="A294" s="27"/>
      <c r="B294" s="28"/>
      <c r="C294" s="29" t="str">
        <f aca="false">IF(B294="","",IFERROR(INDEX(Tenancies!$B$5:$B$50,MATCH(B294,Tenancies!$A$5:$A$50,0)),"Check ID"))</f>
        <v/>
      </c>
      <c r="D294" s="29" t="str">
        <f aca="false">IF(B294="","",IFERROR(INDEX(Tenancies!$D$5:$D$50,MATCH(B294,Tenancies!$A$5:$A$50,0)),"Check ID"))</f>
        <v/>
      </c>
      <c r="E294" s="30"/>
      <c r="F294" s="31"/>
      <c r="G294" s="31"/>
      <c r="H294" s="28"/>
      <c r="I294" s="32" t="str">
        <f aca="false">IF(OR(B294="",E294=""),"",IF(SUMIFS($F$5:$F$304,$B$5:$B$304,B294,$E$5:$E$304,E294)&gt;=IFERROR(INDEX(Tenancies!$G$5:$G$50,MATCH(B294,Tenancies!$A$5:$A$50,0)),0),"Rent complete","Partial"))</f>
        <v/>
      </c>
      <c r="J294" s="28"/>
    </row>
    <row r="295" customFormat="false" ht="15" hidden="false" customHeight="false" outlineLevel="0" collapsed="false">
      <c r="A295" s="27"/>
      <c r="B295" s="28"/>
      <c r="C295" s="29" t="str">
        <f aca="false">IF(B295="","",IFERROR(INDEX(Tenancies!$B$5:$B$50,MATCH(B295,Tenancies!$A$5:$A$50,0)),"Check ID"))</f>
        <v/>
      </c>
      <c r="D295" s="29" t="str">
        <f aca="false">IF(B295="","",IFERROR(INDEX(Tenancies!$D$5:$D$50,MATCH(B295,Tenancies!$A$5:$A$50,0)),"Check ID"))</f>
        <v/>
      </c>
      <c r="E295" s="30"/>
      <c r="F295" s="31"/>
      <c r="G295" s="31"/>
      <c r="H295" s="28"/>
      <c r="I295" s="32" t="str">
        <f aca="false">IF(OR(B295="",E295=""),"",IF(SUMIFS($F$5:$F$304,$B$5:$B$304,B295,$E$5:$E$304,E295)&gt;=IFERROR(INDEX(Tenancies!$G$5:$G$50,MATCH(B295,Tenancies!$A$5:$A$50,0)),0),"Rent complete","Partial"))</f>
        <v/>
      </c>
      <c r="J295" s="28"/>
    </row>
    <row r="296" customFormat="false" ht="15" hidden="false" customHeight="false" outlineLevel="0" collapsed="false">
      <c r="A296" s="27"/>
      <c r="B296" s="28"/>
      <c r="C296" s="29" t="str">
        <f aca="false">IF(B296="","",IFERROR(INDEX(Tenancies!$B$5:$B$50,MATCH(B296,Tenancies!$A$5:$A$50,0)),"Check ID"))</f>
        <v/>
      </c>
      <c r="D296" s="29" t="str">
        <f aca="false">IF(B296="","",IFERROR(INDEX(Tenancies!$D$5:$D$50,MATCH(B296,Tenancies!$A$5:$A$50,0)),"Check ID"))</f>
        <v/>
      </c>
      <c r="E296" s="30"/>
      <c r="F296" s="31"/>
      <c r="G296" s="31"/>
      <c r="H296" s="28"/>
      <c r="I296" s="32" t="str">
        <f aca="false">IF(OR(B296="",E296=""),"",IF(SUMIFS($F$5:$F$304,$B$5:$B$304,B296,$E$5:$E$304,E296)&gt;=IFERROR(INDEX(Tenancies!$G$5:$G$50,MATCH(B296,Tenancies!$A$5:$A$50,0)),0),"Rent complete","Partial"))</f>
        <v/>
      </c>
      <c r="J296" s="28"/>
    </row>
    <row r="297" customFormat="false" ht="15" hidden="false" customHeight="false" outlineLevel="0" collapsed="false">
      <c r="A297" s="27"/>
      <c r="B297" s="28"/>
      <c r="C297" s="29" t="str">
        <f aca="false">IF(B297="","",IFERROR(INDEX(Tenancies!$B$5:$B$50,MATCH(B297,Tenancies!$A$5:$A$50,0)),"Check ID"))</f>
        <v/>
      </c>
      <c r="D297" s="29" t="str">
        <f aca="false">IF(B297="","",IFERROR(INDEX(Tenancies!$D$5:$D$50,MATCH(B297,Tenancies!$A$5:$A$50,0)),"Check ID"))</f>
        <v/>
      </c>
      <c r="E297" s="30"/>
      <c r="F297" s="31"/>
      <c r="G297" s="31"/>
      <c r="H297" s="28"/>
      <c r="I297" s="32" t="str">
        <f aca="false">IF(OR(B297="",E297=""),"",IF(SUMIFS($F$5:$F$304,$B$5:$B$304,B297,$E$5:$E$304,E297)&gt;=IFERROR(INDEX(Tenancies!$G$5:$G$50,MATCH(B297,Tenancies!$A$5:$A$50,0)),0),"Rent complete","Partial"))</f>
        <v/>
      </c>
      <c r="J297" s="28"/>
    </row>
    <row r="298" customFormat="false" ht="15" hidden="false" customHeight="false" outlineLevel="0" collapsed="false">
      <c r="A298" s="27"/>
      <c r="B298" s="28"/>
      <c r="C298" s="29" t="str">
        <f aca="false">IF(B298="","",IFERROR(INDEX(Tenancies!$B$5:$B$50,MATCH(B298,Tenancies!$A$5:$A$50,0)),"Check ID"))</f>
        <v/>
      </c>
      <c r="D298" s="29" t="str">
        <f aca="false">IF(B298="","",IFERROR(INDEX(Tenancies!$D$5:$D$50,MATCH(B298,Tenancies!$A$5:$A$50,0)),"Check ID"))</f>
        <v/>
      </c>
      <c r="E298" s="30"/>
      <c r="F298" s="31"/>
      <c r="G298" s="31"/>
      <c r="H298" s="28"/>
      <c r="I298" s="32" t="str">
        <f aca="false">IF(OR(B298="",E298=""),"",IF(SUMIFS($F$5:$F$304,$B$5:$B$304,B298,$E$5:$E$304,E298)&gt;=IFERROR(INDEX(Tenancies!$G$5:$G$50,MATCH(B298,Tenancies!$A$5:$A$50,0)),0),"Rent complete","Partial"))</f>
        <v/>
      </c>
      <c r="J298" s="28"/>
    </row>
    <row r="299" customFormat="false" ht="15" hidden="false" customHeight="false" outlineLevel="0" collapsed="false">
      <c r="A299" s="27"/>
      <c r="B299" s="28"/>
      <c r="C299" s="29" t="str">
        <f aca="false">IF(B299="","",IFERROR(INDEX(Tenancies!$B$5:$B$50,MATCH(B299,Tenancies!$A$5:$A$50,0)),"Check ID"))</f>
        <v/>
      </c>
      <c r="D299" s="29" t="str">
        <f aca="false">IF(B299="","",IFERROR(INDEX(Tenancies!$D$5:$D$50,MATCH(B299,Tenancies!$A$5:$A$50,0)),"Check ID"))</f>
        <v/>
      </c>
      <c r="E299" s="30"/>
      <c r="F299" s="31"/>
      <c r="G299" s="31"/>
      <c r="H299" s="28"/>
      <c r="I299" s="32" t="str">
        <f aca="false">IF(OR(B299="",E299=""),"",IF(SUMIFS($F$5:$F$304,$B$5:$B$304,B299,$E$5:$E$304,E299)&gt;=IFERROR(INDEX(Tenancies!$G$5:$G$50,MATCH(B299,Tenancies!$A$5:$A$50,0)),0),"Rent complete","Partial"))</f>
        <v/>
      </c>
      <c r="J299" s="28"/>
    </row>
    <row r="300" customFormat="false" ht="15" hidden="false" customHeight="false" outlineLevel="0" collapsed="false">
      <c r="A300" s="27"/>
      <c r="B300" s="28"/>
      <c r="C300" s="29" t="str">
        <f aca="false">IF(B300="","",IFERROR(INDEX(Tenancies!$B$5:$B$50,MATCH(B300,Tenancies!$A$5:$A$50,0)),"Check ID"))</f>
        <v/>
      </c>
      <c r="D300" s="29" t="str">
        <f aca="false">IF(B300="","",IFERROR(INDEX(Tenancies!$D$5:$D$50,MATCH(B300,Tenancies!$A$5:$A$50,0)),"Check ID"))</f>
        <v/>
      </c>
      <c r="E300" s="30"/>
      <c r="F300" s="31"/>
      <c r="G300" s="31"/>
      <c r="H300" s="28"/>
      <c r="I300" s="32" t="str">
        <f aca="false">IF(OR(B300="",E300=""),"",IF(SUMIFS($F$5:$F$304,$B$5:$B$304,B300,$E$5:$E$304,E300)&gt;=IFERROR(INDEX(Tenancies!$G$5:$G$50,MATCH(B300,Tenancies!$A$5:$A$50,0)),0),"Rent complete","Partial"))</f>
        <v/>
      </c>
      <c r="J300" s="28"/>
    </row>
    <row r="301" customFormat="false" ht="15" hidden="false" customHeight="false" outlineLevel="0" collapsed="false">
      <c r="A301" s="27"/>
      <c r="B301" s="28"/>
      <c r="C301" s="29" t="str">
        <f aca="false">IF(B301="","",IFERROR(INDEX(Tenancies!$B$5:$B$50,MATCH(B301,Tenancies!$A$5:$A$50,0)),"Check ID"))</f>
        <v/>
      </c>
      <c r="D301" s="29" t="str">
        <f aca="false">IF(B301="","",IFERROR(INDEX(Tenancies!$D$5:$D$50,MATCH(B301,Tenancies!$A$5:$A$50,0)),"Check ID"))</f>
        <v/>
      </c>
      <c r="E301" s="30"/>
      <c r="F301" s="31"/>
      <c r="G301" s="31"/>
      <c r="H301" s="28"/>
      <c r="I301" s="32" t="str">
        <f aca="false">IF(OR(B301="",E301=""),"",IF(SUMIFS($F$5:$F$304,$B$5:$B$304,B301,$E$5:$E$304,E301)&gt;=IFERROR(INDEX(Tenancies!$G$5:$G$50,MATCH(B301,Tenancies!$A$5:$A$50,0)),0),"Rent complete","Partial"))</f>
        <v/>
      </c>
      <c r="J301" s="28"/>
    </row>
    <row r="302" customFormat="false" ht="15" hidden="false" customHeight="false" outlineLevel="0" collapsed="false">
      <c r="A302" s="27"/>
      <c r="B302" s="28"/>
      <c r="C302" s="29" t="str">
        <f aca="false">IF(B302="","",IFERROR(INDEX(Tenancies!$B$5:$B$50,MATCH(B302,Tenancies!$A$5:$A$50,0)),"Check ID"))</f>
        <v/>
      </c>
      <c r="D302" s="29" t="str">
        <f aca="false">IF(B302="","",IFERROR(INDEX(Tenancies!$D$5:$D$50,MATCH(B302,Tenancies!$A$5:$A$50,0)),"Check ID"))</f>
        <v/>
      </c>
      <c r="E302" s="30"/>
      <c r="F302" s="31"/>
      <c r="G302" s="31"/>
      <c r="H302" s="28"/>
      <c r="I302" s="32" t="str">
        <f aca="false">IF(OR(B302="",E302=""),"",IF(SUMIFS($F$5:$F$304,$B$5:$B$304,B302,$E$5:$E$304,E302)&gt;=IFERROR(INDEX(Tenancies!$G$5:$G$50,MATCH(B302,Tenancies!$A$5:$A$50,0)),0),"Rent complete","Partial"))</f>
        <v/>
      </c>
      <c r="J302" s="28"/>
    </row>
    <row r="303" customFormat="false" ht="15" hidden="false" customHeight="false" outlineLevel="0" collapsed="false">
      <c r="A303" s="27"/>
      <c r="B303" s="28"/>
      <c r="C303" s="29" t="str">
        <f aca="false">IF(B303="","",IFERROR(INDEX(Tenancies!$B$5:$B$50,MATCH(B303,Tenancies!$A$5:$A$50,0)),"Check ID"))</f>
        <v/>
      </c>
      <c r="D303" s="29" t="str">
        <f aca="false">IF(B303="","",IFERROR(INDEX(Tenancies!$D$5:$D$50,MATCH(B303,Tenancies!$A$5:$A$50,0)),"Check ID"))</f>
        <v/>
      </c>
      <c r="E303" s="30"/>
      <c r="F303" s="31"/>
      <c r="G303" s="31"/>
      <c r="H303" s="28"/>
      <c r="I303" s="32" t="str">
        <f aca="false">IF(OR(B303="",E303=""),"",IF(SUMIFS($F$5:$F$304,$B$5:$B$304,B303,$E$5:$E$304,E303)&gt;=IFERROR(INDEX(Tenancies!$G$5:$G$50,MATCH(B303,Tenancies!$A$5:$A$50,0)),0),"Rent complete","Partial"))</f>
        <v/>
      </c>
      <c r="J303" s="28"/>
    </row>
    <row r="304" customFormat="false" ht="15" hidden="false" customHeight="false" outlineLevel="0" collapsed="false">
      <c r="A304" s="27"/>
      <c r="B304" s="28"/>
      <c r="C304" s="29" t="str">
        <f aca="false">IF(B304="","",IFERROR(INDEX(Tenancies!$B$5:$B$50,MATCH(B304,Tenancies!$A$5:$A$50,0)),"Check ID"))</f>
        <v/>
      </c>
      <c r="D304" s="29" t="str">
        <f aca="false">IF(B304="","",IFERROR(INDEX(Tenancies!$D$5:$D$50,MATCH(B304,Tenancies!$A$5:$A$50,0)),"Check ID"))</f>
        <v/>
      </c>
      <c r="E304" s="30"/>
      <c r="F304" s="31"/>
      <c r="G304" s="31"/>
      <c r="H304" s="28"/>
      <c r="I304" s="32" t="str">
        <f aca="false">IF(OR(B304="",E304=""),"",IF(SUMIFS($F$5:$F$304,$B$5:$B$304,B304,$E$5:$E$304,E304)&gt;=IFERROR(INDEX(Tenancies!$G$5:$G$50,MATCH(B304,Tenancies!$A$5:$A$50,0)),0),"Rent complete","Partial"))</f>
        <v/>
      </c>
      <c r="J304" s="28"/>
    </row>
  </sheetData>
  <conditionalFormatting sqref="I5:I304">
    <cfRule type="expression" priority="2" aboveAverage="0" equalAverage="0" bottom="0" percent="0" rank="0" text="" dxfId="5">
      <formula>I5="Partial"</formula>
    </cfRule>
  </conditionalFormatting>
  <dataValidations count="2">
    <dataValidation allowBlank="true" errorStyle="stop" operator="between" showDropDown="false" showErrorMessage="false" showInputMessage="false" sqref="B5:B304" type="list">
      <formula1>Tenancies!$A$5:$A$50</formula1>
      <formula2>0</formula2>
    </dataValidation>
    <dataValidation allowBlank="true" errorStyle="stop" operator="between" showDropDown="false" showErrorMessage="false" showInputMessage="false" sqref="H5:H304" type="list">
      <formula1>Settings!$A$10:$A$13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3"/>
    <col collapsed="false" customWidth="true" hidden="false" outlineLevel="0" max="4" min="4" style="0" width="11"/>
    <col collapsed="false" customWidth="true" hidden="false" outlineLevel="0" max="8" min="5" style="0" width="13"/>
    <col collapsed="false" customWidth="true" hidden="false" outlineLevel="0" max="9" min="9" style="0" width="9"/>
    <col collapsed="false" customWidth="true" hidden="false" outlineLevel="0" max="12" min="10" style="0" width="13"/>
    <col collapsed="false" customWidth="true" hidden="false" outlineLevel="0" max="13" min="13" style="0" width="12"/>
  </cols>
  <sheetData>
    <row r="1" customFormat="false" ht="19.7" hidden="false" customHeight="false" outlineLevel="0" collapsed="false">
      <c r="A1" s="1" t="s">
        <v>100</v>
      </c>
    </row>
    <row r="2" customFormat="false" ht="15" hidden="false" customHeight="false" outlineLevel="0" collapsed="false">
      <c r="A2" s="2" t="s">
        <v>101</v>
      </c>
    </row>
    <row r="4" customFormat="false" ht="30" hidden="false" customHeight="true" outlineLevel="0" collapsed="false">
      <c r="A4" s="12" t="s">
        <v>83</v>
      </c>
      <c r="B4" s="12" t="s">
        <v>38</v>
      </c>
      <c r="C4" s="12" t="s">
        <v>57</v>
      </c>
      <c r="D4" s="12" t="s">
        <v>62</v>
      </c>
      <c r="E4" s="12" t="s">
        <v>102</v>
      </c>
      <c r="F4" s="12" t="s">
        <v>63</v>
      </c>
      <c r="G4" s="12" t="s">
        <v>103</v>
      </c>
      <c r="H4" s="12" t="s">
        <v>104</v>
      </c>
      <c r="I4" s="12" t="s">
        <v>105</v>
      </c>
      <c r="J4" s="12" t="s">
        <v>106</v>
      </c>
      <c r="K4" s="12" t="s">
        <v>86</v>
      </c>
      <c r="L4" s="12" t="s">
        <v>66</v>
      </c>
      <c r="M4" s="12" t="s">
        <v>46</v>
      </c>
    </row>
    <row r="5" customFormat="false" ht="15" hidden="false" customHeight="false" outlineLevel="0" collapsed="false">
      <c r="A5" s="28" t="s">
        <v>90</v>
      </c>
      <c r="B5" s="13" t="str">
        <f aca="false">IFERROR(INDEX(Tenancies!$B$5:$B$50,MATCH(A5,Tenancies!$A$5:$A$50,0)),"")</f>
        <v>P01</v>
      </c>
      <c r="C5" s="13" t="str">
        <f aca="false">IFERROR(INDEX(Tenancies!$D$5:$D$50,MATCH(A5,Tenancies!$A$5:$A$50,0)),"")</f>
        <v>J. Carter</v>
      </c>
      <c r="D5" s="30" t="n">
        <v>46204</v>
      </c>
      <c r="E5" s="33" t="n">
        <f aca="false">DATE(YEAR(D5),MONTH(D5),INDEX(Tenancies!$H$5:$H$50,MATCH(A5,Tenancies!$A$5:$A$50,0)))</f>
        <v>46204</v>
      </c>
      <c r="F5" s="24" t="n">
        <f aca="false">INDEX(Tenancies!$G$5:$G$50,MATCH(A5,Tenancies!$A$5:$A$50,0))</f>
        <v>950</v>
      </c>
      <c r="G5" s="24" t="n">
        <f aca="false">SUMIFS(Payments!$F$5:$F$304,Payments!$B$5:$B$304,A5,Payments!$E$5:$E$304,D5)</f>
        <v>950</v>
      </c>
      <c r="H5" s="33" t="n">
        <f aca="false">IF(G5=0,"",_xlfn.MAXIFS(Payments!$A$5:$A$304,Payments!$B$5:$B$304,A5,Payments!$E$5:$E$304,D5))</f>
        <v>46204</v>
      </c>
      <c r="I5" s="34" t="n">
        <f aca="false">IF(E5&gt;Settings!$B$4,0,IF(G5&gt;=F5,MAX(0,H5-E5),Settings!$B$4-E5))</f>
        <v>0</v>
      </c>
      <c r="J5" s="24" t="n">
        <f aca="false">IF(I5&gt;INDEX(Tenancies!$I$5:$I$50,MATCH(A5,Tenancies!$A$5:$A$50,0)),INDEX(Tenancies!$J$5:$J$50,MATCH(A5,Tenancies!$A$5:$A$50,0)),0)</f>
        <v>0</v>
      </c>
      <c r="K5" s="24" t="n">
        <f aca="false">SUMIFS(Payments!$G$5:$G$304,Payments!$B$5:$B$304,A5,Payments!$E$5:$E$304,D5)</f>
        <v>0</v>
      </c>
      <c r="L5" s="24" t="n">
        <f aca="false">IF(E5&gt;Settings!$B$4,0,MAX(0,F5+J5-G5-K5))</f>
        <v>0</v>
      </c>
      <c r="M5" s="16" t="str">
        <f aca="false">IF(E5&gt;Settings!$B$4,"Not due",IF(L5&lt;=0,IF(I5&gt;INDEX(Tenancies!$I$5:$I$50,MATCH(A5,Tenancies!$A$5:$A$50,0)),"Paid late","Paid"),IF(G5&gt;=F5,"Fee due",IF(G5&gt;0,"Partial","Overdue"))))</f>
        <v>Paid</v>
      </c>
    </row>
    <row r="6" customFormat="false" ht="15" hidden="false" customHeight="false" outlineLevel="0" collapsed="false">
      <c r="A6" s="28" t="s">
        <v>90</v>
      </c>
      <c r="B6" s="13" t="str">
        <f aca="false">IFERROR(INDEX(Tenancies!$B$5:$B$50,MATCH(A6,Tenancies!$A$5:$A$50,0)),"")</f>
        <v>P01</v>
      </c>
      <c r="C6" s="13" t="str">
        <f aca="false">IFERROR(INDEX(Tenancies!$D$5:$D$50,MATCH(A6,Tenancies!$A$5:$A$50,0)),"")</f>
        <v>J. Carter</v>
      </c>
      <c r="D6" s="30" t="n">
        <v>46235</v>
      </c>
      <c r="E6" s="33" t="n">
        <f aca="false">DATE(YEAR(D6),MONTH(D6),INDEX(Tenancies!$H$5:$H$50,MATCH(A6,Tenancies!$A$5:$A$50,0)))</f>
        <v>46235</v>
      </c>
      <c r="F6" s="24" t="n">
        <f aca="false">INDEX(Tenancies!$G$5:$G$50,MATCH(A6,Tenancies!$A$5:$A$50,0))</f>
        <v>950</v>
      </c>
      <c r="G6" s="24" t="n">
        <f aca="false">SUMIFS(Payments!$F$5:$F$304,Payments!$B$5:$B$304,A6,Payments!$E$5:$E$304,D6)</f>
        <v>950</v>
      </c>
      <c r="H6" s="33" t="n">
        <f aca="false">IF(G6=0,"",_xlfn.MAXIFS(Payments!$A$5:$A$304,Payments!$B$5:$B$304,A6,Payments!$E$5:$E$304,D6))</f>
        <v>46254</v>
      </c>
      <c r="I6" s="34" t="n">
        <f aca="false">IF(E6&gt;Settings!$B$4,0,IF(G6&gt;=F6,MAX(0,H6-E6),Settings!$B$4-E6))</f>
        <v>19</v>
      </c>
      <c r="J6" s="24" t="n">
        <f aca="false">IF(I6&gt;INDEX(Tenancies!$I$5:$I$50,MATCH(A6,Tenancies!$A$5:$A$50,0)),INDEX(Tenancies!$J$5:$J$50,MATCH(A6,Tenancies!$A$5:$A$50,0)),0)</f>
        <v>50</v>
      </c>
      <c r="K6" s="24" t="n">
        <f aca="false">SUMIFS(Payments!$G$5:$G$304,Payments!$B$5:$B$304,A6,Payments!$E$5:$E$304,D6)</f>
        <v>0</v>
      </c>
      <c r="L6" s="24" t="n">
        <f aca="false">IF(E6&gt;Settings!$B$4,0,MAX(0,F6+J6-G6-K6))</f>
        <v>50</v>
      </c>
      <c r="M6" s="16" t="str">
        <f aca="false">IF(E6&gt;Settings!$B$4,"Not due",IF(L6&lt;=0,IF(I6&gt;INDEX(Tenancies!$I$5:$I$50,MATCH(A6,Tenancies!$A$5:$A$50,0)),"Paid late","Paid"),IF(G6&gt;=F6,"Fee due",IF(G6&gt;0,"Partial","Overdue"))))</f>
        <v>Fee due</v>
      </c>
    </row>
    <row r="7" customFormat="false" ht="15" hidden="false" customHeight="false" outlineLevel="0" collapsed="false">
      <c r="A7" s="28" t="s">
        <v>90</v>
      </c>
      <c r="B7" s="13" t="str">
        <f aca="false">IFERROR(INDEX(Tenancies!$B$5:$B$50,MATCH(A7,Tenancies!$A$5:$A$50,0)),"")</f>
        <v>P01</v>
      </c>
      <c r="C7" s="13" t="str">
        <f aca="false">IFERROR(INDEX(Tenancies!$D$5:$D$50,MATCH(A7,Tenancies!$A$5:$A$50,0)),"")</f>
        <v>J. Carter</v>
      </c>
      <c r="D7" s="30" t="n">
        <v>46266</v>
      </c>
      <c r="E7" s="33" t="n">
        <f aca="false">DATE(YEAR(D7),MONTH(D7),INDEX(Tenancies!$H$5:$H$50,MATCH(A7,Tenancies!$A$5:$A$50,0)))</f>
        <v>46266</v>
      </c>
      <c r="F7" s="24" t="n">
        <f aca="false">INDEX(Tenancies!$G$5:$G$50,MATCH(A7,Tenancies!$A$5:$A$50,0))</f>
        <v>950</v>
      </c>
      <c r="G7" s="24" t="n">
        <f aca="false">SUMIFS(Payments!$F$5:$F$304,Payments!$B$5:$B$304,A7,Payments!$E$5:$E$304,D7)</f>
        <v>950</v>
      </c>
      <c r="H7" s="33" t="n">
        <f aca="false">IF(G7=0,"",_xlfn.MAXIFS(Payments!$A$5:$A$304,Payments!$B$5:$B$304,A7,Payments!$E$5:$E$304,D7))</f>
        <v>46266</v>
      </c>
      <c r="I7" s="34" t="n">
        <f aca="false">IF(E7&gt;Settings!$B$4,0,IF(G7&gt;=F7,MAX(0,H7-E7),Settings!$B$4-E7))</f>
        <v>0</v>
      </c>
      <c r="J7" s="24" t="n">
        <f aca="false">IF(I7&gt;INDEX(Tenancies!$I$5:$I$50,MATCH(A7,Tenancies!$A$5:$A$50,0)),INDEX(Tenancies!$J$5:$J$50,MATCH(A7,Tenancies!$A$5:$A$50,0)),0)</f>
        <v>0</v>
      </c>
      <c r="K7" s="24" t="n">
        <f aca="false">SUMIFS(Payments!$G$5:$G$304,Payments!$B$5:$B$304,A7,Payments!$E$5:$E$304,D7)</f>
        <v>0</v>
      </c>
      <c r="L7" s="24" t="n">
        <f aca="false">IF(E7&gt;Settings!$B$4,0,MAX(0,F7+J7-G7-K7))</f>
        <v>0</v>
      </c>
      <c r="M7" s="16" t="str">
        <f aca="false">IF(E7&gt;Settings!$B$4,"Not due",IF(L7&lt;=0,IF(I7&gt;INDEX(Tenancies!$I$5:$I$50,MATCH(A7,Tenancies!$A$5:$A$50,0)),"Paid late","Paid"),IF(G7&gt;=F7,"Fee due",IF(G7&gt;0,"Partial","Overdue"))))</f>
        <v>Paid</v>
      </c>
    </row>
    <row r="8" customFormat="false" ht="15" hidden="false" customHeight="false" outlineLevel="0" collapsed="false">
      <c r="A8" s="28" t="s">
        <v>90</v>
      </c>
      <c r="B8" s="13" t="str">
        <f aca="false">IFERROR(INDEX(Tenancies!$B$5:$B$50,MATCH(A8,Tenancies!$A$5:$A$50,0)),"")</f>
        <v>P01</v>
      </c>
      <c r="C8" s="13" t="str">
        <f aca="false">IFERROR(INDEX(Tenancies!$D$5:$D$50,MATCH(A8,Tenancies!$A$5:$A$50,0)),"")</f>
        <v>J. Carter</v>
      </c>
      <c r="D8" s="30" t="n">
        <v>46296</v>
      </c>
      <c r="E8" s="33" t="n">
        <f aca="false">DATE(YEAR(D8),MONTH(D8),INDEX(Tenancies!$H$5:$H$50,MATCH(A8,Tenancies!$A$5:$A$50,0)))</f>
        <v>46296</v>
      </c>
      <c r="F8" s="24" t="n">
        <f aca="false">INDEX(Tenancies!$G$5:$G$50,MATCH(A8,Tenancies!$A$5:$A$50,0))</f>
        <v>950</v>
      </c>
      <c r="G8" s="24" t="n">
        <f aca="false">SUMIFS(Payments!$F$5:$F$304,Payments!$B$5:$B$304,A8,Payments!$E$5:$E$304,D8)</f>
        <v>950</v>
      </c>
      <c r="H8" s="33" t="n">
        <f aca="false">IF(G8=0,"",_xlfn.MAXIFS(Payments!$A$5:$A$304,Payments!$B$5:$B$304,A8,Payments!$E$5:$E$304,D8))</f>
        <v>46296</v>
      </c>
      <c r="I8" s="34" t="n">
        <f aca="false">IF(E8&gt;Settings!$B$4,0,IF(G8&gt;=F8,MAX(0,H8-E8),Settings!$B$4-E8))</f>
        <v>0</v>
      </c>
      <c r="J8" s="24" t="n">
        <f aca="false">IF(I8&gt;INDEX(Tenancies!$I$5:$I$50,MATCH(A8,Tenancies!$A$5:$A$50,0)),INDEX(Tenancies!$J$5:$J$50,MATCH(A8,Tenancies!$A$5:$A$50,0)),0)</f>
        <v>0</v>
      </c>
      <c r="K8" s="24" t="n">
        <f aca="false">SUMIFS(Payments!$G$5:$G$304,Payments!$B$5:$B$304,A8,Payments!$E$5:$E$304,D8)</f>
        <v>0</v>
      </c>
      <c r="L8" s="24" t="n">
        <f aca="false">IF(E8&gt;Settings!$B$4,0,MAX(0,F8+J8-G8-K8))</f>
        <v>0</v>
      </c>
      <c r="M8" s="16" t="str">
        <f aca="false">IF(E8&gt;Settings!$B$4,"Not due",IF(L8&lt;=0,IF(I8&gt;INDEX(Tenancies!$I$5:$I$50,MATCH(A8,Tenancies!$A$5:$A$50,0)),"Paid late","Paid"),IF(G8&gt;=F8,"Fee due",IF(G8&gt;0,"Partial","Overdue"))))</f>
        <v>Paid</v>
      </c>
    </row>
    <row r="9" customFormat="false" ht="15" hidden="false" customHeight="false" outlineLevel="0" collapsed="false">
      <c r="A9" s="28" t="s">
        <v>90</v>
      </c>
      <c r="B9" s="13" t="str">
        <f aca="false">IFERROR(INDEX(Tenancies!$B$5:$B$50,MATCH(A9,Tenancies!$A$5:$A$50,0)),"")</f>
        <v>P01</v>
      </c>
      <c r="C9" s="13" t="str">
        <f aca="false">IFERROR(INDEX(Tenancies!$D$5:$D$50,MATCH(A9,Tenancies!$A$5:$A$50,0)),"")</f>
        <v>J. Carter</v>
      </c>
      <c r="D9" s="30" t="n">
        <v>46327</v>
      </c>
      <c r="E9" s="33" t="n">
        <f aca="false">DATE(YEAR(D9),MONTH(D9),INDEX(Tenancies!$H$5:$H$50,MATCH(A9,Tenancies!$A$5:$A$50,0)))</f>
        <v>46327</v>
      </c>
      <c r="F9" s="24" t="n">
        <f aca="false">INDEX(Tenancies!$G$5:$G$50,MATCH(A9,Tenancies!$A$5:$A$50,0))</f>
        <v>950</v>
      </c>
      <c r="G9" s="24" t="n">
        <f aca="false">SUMIFS(Payments!$F$5:$F$304,Payments!$B$5:$B$304,A9,Payments!$E$5:$E$304,D9)</f>
        <v>0</v>
      </c>
      <c r="H9" s="33" t="str">
        <f aca="false">IF(G9=0,"",_xlfn.MAXIFS(Payments!$A$5:$A$304,Payments!$B$5:$B$304,A9,Payments!$E$5:$E$304,D9))</f>
        <v/>
      </c>
      <c r="I9" s="34" t="n">
        <f aca="false">IF(E9&gt;Settings!$B$4,0,IF(G9&gt;=F9,MAX(0,H9-E9),Settings!$B$4-E9))</f>
        <v>0</v>
      </c>
      <c r="J9" s="24" t="n">
        <f aca="false">IF(I9&gt;INDEX(Tenancies!$I$5:$I$50,MATCH(A9,Tenancies!$A$5:$A$50,0)),INDEX(Tenancies!$J$5:$J$50,MATCH(A9,Tenancies!$A$5:$A$50,0)),0)</f>
        <v>0</v>
      </c>
      <c r="K9" s="24" t="n">
        <f aca="false">SUMIFS(Payments!$G$5:$G$304,Payments!$B$5:$B$304,A9,Payments!$E$5:$E$304,D9)</f>
        <v>0</v>
      </c>
      <c r="L9" s="24" t="n">
        <f aca="false">IF(E9&gt;Settings!$B$4,0,MAX(0,F9+J9-G9-K9))</f>
        <v>0</v>
      </c>
      <c r="M9" s="16" t="str">
        <f aca="false">IF(E9&gt;Settings!$B$4,"Not due",IF(L9&lt;=0,IF(I9&gt;INDEX(Tenancies!$I$5:$I$50,MATCH(A9,Tenancies!$A$5:$A$50,0)),"Paid late","Paid"),IF(G9&gt;=F9,"Fee due",IF(G9&gt;0,"Partial","Overdue"))))</f>
        <v>Not due</v>
      </c>
    </row>
    <row r="10" customFormat="false" ht="15" hidden="false" customHeight="false" outlineLevel="0" collapsed="false">
      <c r="A10" s="28" t="s">
        <v>90</v>
      </c>
      <c r="B10" s="13" t="str">
        <f aca="false">IFERROR(INDEX(Tenancies!$B$5:$B$50,MATCH(A10,Tenancies!$A$5:$A$50,0)),"")</f>
        <v>P01</v>
      </c>
      <c r="C10" s="13" t="str">
        <f aca="false">IFERROR(INDEX(Tenancies!$D$5:$D$50,MATCH(A10,Tenancies!$A$5:$A$50,0)),"")</f>
        <v>J. Carter</v>
      </c>
      <c r="D10" s="30" t="n">
        <v>46357</v>
      </c>
      <c r="E10" s="33" t="n">
        <f aca="false">DATE(YEAR(D10),MONTH(D10),INDEX(Tenancies!$H$5:$H$50,MATCH(A10,Tenancies!$A$5:$A$50,0)))</f>
        <v>46357</v>
      </c>
      <c r="F10" s="24" t="n">
        <f aca="false">INDEX(Tenancies!$G$5:$G$50,MATCH(A10,Tenancies!$A$5:$A$50,0))</f>
        <v>950</v>
      </c>
      <c r="G10" s="24" t="n">
        <f aca="false">SUMIFS(Payments!$F$5:$F$304,Payments!$B$5:$B$304,A10,Payments!$E$5:$E$304,D10)</f>
        <v>0</v>
      </c>
      <c r="H10" s="33" t="str">
        <f aca="false">IF(G10=0,"",_xlfn.MAXIFS(Payments!$A$5:$A$304,Payments!$B$5:$B$304,A10,Payments!$E$5:$E$304,D10))</f>
        <v/>
      </c>
      <c r="I10" s="34" t="n">
        <f aca="false">IF(E10&gt;Settings!$B$4,0,IF(G10&gt;=F10,MAX(0,H10-E10),Settings!$B$4-E10))</f>
        <v>0</v>
      </c>
      <c r="J10" s="24" t="n">
        <f aca="false">IF(I10&gt;INDEX(Tenancies!$I$5:$I$50,MATCH(A10,Tenancies!$A$5:$A$50,0)),INDEX(Tenancies!$J$5:$J$50,MATCH(A10,Tenancies!$A$5:$A$50,0)),0)</f>
        <v>0</v>
      </c>
      <c r="K10" s="24" t="n">
        <f aca="false">SUMIFS(Payments!$G$5:$G$304,Payments!$B$5:$B$304,A10,Payments!$E$5:$E$304,D10)</f>
        <v>0</v>
      </c>
      <c r="L10" s="24" t="n">
        <f aca="false">IF(E10&gt;Settings!$B$4,0,MAX(0,F10+J10-G10-K10))</f>
        <v>0</v>
      </c>
      <c r="M10" s="16" t="str">
        <f aca="false">IF(E10&gt;Settings!$B$4,"Not due",IF(L10&lt;=0,IF(I10&gt;INDEX(Tenancies!$I$5:$I$50,MATCH(A10,Tenancies!$A$5:$A$50,0)),"Paid late","Paid"),IF(G10&gt;=F10,"Fee due",IF(G10&gt;0,"Partial","Overdue"))))</f>
        <v>Not due</v>
      </c>
    </row>
    <row r="11" customFormat="false" ht="15" hidden="false" customHeight="false" outlineLevel="0" collapsed="false">
      <c r="A11" s="28" t="s">
        <v>94</v>
      </c>
      <c r="B11" s="13" t="str">
        <f aca="false">IFERROR(INDEX(Tenancies!$B$5:$B$50,MATCH(A11,Tenancies!$A$5:$A$50,0)),"")</f>
        <v>P02</v>
      </c>
      <c r="C11" s="13" t="str">
        <f aca="false">IFERROR(INDEX(Tenancies!$D$5:$D$50,MATCH(A11,Tenancies!$A$5:$A$50,0)),"")</f>
        <v>M. Patel</v>
      </c>
      <c r="D11" s="30" t="n">
        <v>46204</v>
      </c>
      <c r="E11" s="33" t="n">
        <f aca="false">DATE(YEAR(D11),MONTH(D11),INDEX(Tenancies!$H$5:$H$50,MATCH(A11,Tenancies!$A$5:$A$50,0)))</f>
        <v>46208</v>
      </c>
      <c r="F11" s="24" t="n">
        <f aca="false">INDEX(Tenancies!$G$5:$G$50,MATCH(A11,Tenancies!$A$5:$A$50,0))</f>
        <v>1350</v>
      </c>
      <c r="G11" s="24" t="n">
        <f aca="false">SUMIFS(Payments!$F$5:$F$304,Payments!$B$5:$B$304,A11,Payments!$E$5:$E$304,D11)</f>
        <v>1350</v>
      </c>
      <c r="H11" s="33" t="n">
        <f aca="false">IF(G11=0,"",_xlfn.MAXIFS(Payments!$A$5:$A$304,Payments!$B$5:$B$304,A11,Payments!$E$5:$E$304,D11))</f>
        <v>46207</v>
      </c>
      <c r="I11" s="34" t="n">
        <f aca="false">IF(E11&gt;Settings!$B$4,0,IF(G11&gt;=F11,MAX(0,H11-E11),Settings!$B$4-E11))</f>
        <v>0</v>
      </c>
      <c r="J11" s="24" t="n">
        <f aca="false">IF(I11&gt;INDEX(Tenancies!$I$5:$I$50,MATCH(A11,Tenancies!$A$5:$A$50,0)),INDEX(Tenancies!$J$5:$J$50,MATCH(A11,Tenancies!$A$5:$A$50,0)),0)</f>
        <v>0</v>
      </c>
      <c r="K11" s="24" t="n">
        <f aca="false">SUMIFS(Payments!$G$5:$G$304,Payments!$B$5:$B$304,A11,Payments!$E$5:$E$304,D11)</f>
        <v>0</v>
      </c>
      <c r="L11" s="24" t="n">
        <f aca="false">IF(E11&gt;Settings!$B$4,0,MAX(0,F11+J11-G11-K11))</f>
        <v>0</v>
      </c>
      <c r="M11" s="16" t="str">
        <f aca="false">IF(E11&gt;Settings!$B$4,"Not due",IF(L11&lt;=0,IF(I11&gt;INDEX(Tenancies!$I$5:$I$50,MATCH(A11,Tenancies!$A$5:$A$50,0)),"Paid late","Paid"),IF(G11&gt;=F11,"Fee due",IF(G11&gt;0,"Partial","Overdue"))))</f>
        <v>Paid</v>
      </c>
    </row>
    <row r="12" customFormat="false" ht="15" hidden="false" customHeight="false" outlineLevel="0" collapsed="false">
      <c r="A12" s="28" t="s">
        <v>94</v>
      </c>
      <c r="B12" s="13" t="str">
        <f aca="false">IFERROR(INDEX(Tenancies!$B$5:$B$50,MATCH(A12,Tenancies!$A$5:$A$50,0)),"")</f>
        <v>P02</v>
      </c>
      <c r="C12" s="13" t="str">
        <f aca="false">IFERROR(INDEX(Tenancies!$D$5:$D$50,MATCH(A12,Tenancies!$A$5:$A$50,0)),"")</f>
        <v>M. Patel</v>
      </c>
      <c r="D12" s="30" t="n">
        <v>46235</v>
      </c>
      <c r="E12" s="33" t="n">
        <f aca="false">DATE(YEAR(D12),MONTH(D12),INDEX(Tenancies!$H$5:$H$50,MATCH(A12,Tenancies!$A$5:$A$50,0)))</f>
        <v>46239</v>
      </c>
      <c r="F12" s="24" t="n">
        <f aca="false">INDEX(Tenancies!$G$5:$G$50,MATCH(A12,Tenancies!$A$5:$A$50,0))</f>
        <v>1350</v>
      </c>
      <c r="G12" s="24" t="n">
        <f aca="false">SUMIFS(Payments!$F$5:$F$304,Payments!$B$5:$B$304,A12,Payments!$E$5:$E$304,D12)</f>
        <v>1350</v>
      </c>
      <c r="H12" s="33" t="n">
        <f aca="false">IF(G12=0,"",_xlfn.MAXIFS(Payments!$A$5:$A$304,Payments!$B$5:$B$304,A12,Payments!$E$5:$E$304,D12))</f>
        <v>46238</v>
      </c>
      <c r="I12" s="34" t="n">
        <f aca="false">IF(E12&gt;Settings!$B$4,0,IF(G12&gt;=F12,MAX(0,H12-E12),Settings!$B$4-E12))</f>
        <v>0</v>
      </c>
      <c r="J12" s="24" t="n">
        <f aca="false">IF(I12&gt;INDEX(Tenancies!$I$5:$I$50,MATCH(A12,Tenancies!$A$5:$A$50,0)),INDEX(Tenancies!$J$5:$J$50,MATCH(A12,Tenancies!$A$5:$A$50,0)),0)</f>
        <v>0</v>
      </c>
      <c r="K12" s="24" t="n">
        <f aca="false">SUMIFS(Payments!$G$5:$G$304,Payments!$B$5:$B$304,A12,Payments!$E$5:$E$304,D12)</f>
        <v>0</v>
      </c>
      <c r="L12" s="24" t="n">
        <f aca="false">IF(E12&gt;Settings!$B$4,0,MAX(0,F12+J12-G12-K12))</f>
        <v>0</v>
      </c>
      <c r="M12" s="16" t="str">
        <f aca="false">IF(E12&gt;Settings!$B$4,"Not due",IF(L12&lt;=0,IF(I12&gt;INDEX(Tenancies!$I$5:$I$50,MATCH(A12,Tenancies!$A$5:$A$50,0)),"Paid late","Paid"),IF(G12&gt;=F12,"Fee due",IF(G12&gt;0,"Partial","Overdue"))))</f>
        <v>Paid</v>
      </c>
    </row>
    <row r="13" customFormat="false" ht="15" hidden="false" customHeight="false" outlineLevel="0" collapsed="false">
      <c r="A13" s="28" t="s">
        <v>94</v>
      </c>
      <c r="B13" s="13" t="str">
        <f aca="false">IFERROR(INDEX(Tenancies!$B$5:$B$50,MATCH(A13,Tenancies!$A$5:$A$50,0)),"")</f>
        <v>P02</v>
      </c>
      <c r="C13" s="13" t="str">
        <f aca="false">IFERROR(INDEX(Tenancies!$D$5:$D$50,MATCH(A13,Tenancies!$A$5:$A$50,0)),"")</f>
        <v>M. Patel</v>
      </c>
      <c r="D13" s="30" t="n">
        <v>46266</v>
      </c>
      <c r="E13" s="33" t="n">
        <f aca="false">DATE(YEAR(D13),MONTH(D13),INDEX(Tenancies!$H$5:$H$50,MATCH(A13,Tenancies!$A$5:$A$50,0)))</f>
        <v>46270</v>
      </c>
      <c r="F13" s="24" t="n">
        <f aca="false">INDEX(Tenancies!$G$5:$G$50,MATCH(A13,Tenancies!$A$5:$A$50,0))</f>
        <v>1350</v>
      </c>
      <c r="G13" s="24" t="n">
        <f aca="false">SUMIFS(Payments!$F$5:$F$304,Payments!$B$5:$B$304,A13,Payments!$E$5:$E$304,D13)</f>
        <v>1350</v>
      </c>
      <c r="H13" s="33" t="n">
        <f aca="false">IF(G13=0,"",_xlfn.MAXIFS(Payments!$A$5:$A$304,Payments!$B$5:$B$304,A13,Payments!$E$5:$E$304,D13))</f>
        <v>46280</v>
      </c>
      <c r="I13" s="34" t="n">
        <f aca="false">IF(E13&gt;Settings!$B$4,0,IF(G13&gt;=F13,MAX(0,H13-E13),Settings!$B$4-E13))</f>
        <v>10</v>
      </c>
      <c r="J13" s="24" t="n">
        <f aca="false">IF(I13&gt;INDEX(Tenancies!$I$5:$I$50,MATCH(A13,Tenancies!$A$5:$A$50,0)),INDEX(Tenancies!$J$5:$J$50,MATCH(A13,Tenancies!$A$5:$A$50,0)),0)</f>
        <v>40</v>
      </c>
      <c r="K13" s="24" t="n">
        <f aca="false">SUMIFS(Payments!$G$5:$G$304,Payments!$B$5:$B$304,A13,Payments!$E$5:$E$304,D13)</f>
        <v>40</v>
      </c>
      <c r="L13" s="24" t="n">
        <f aca="false">IF(E13&gt;Settings!$B$4,0,MAX(0,F13+J13-G13-K13))</f>
        <v>0</v>
      </c>
      <c r="M13" s="16" t="str">
        <f aca="false">IF(E13&gt;Settings!$B$4,"Not due",IF(L13&lt;=0,IF(I13&gt;INDEX(Tenancies!$I$5:$I$50,MATCH(A13,Tenancies!$A$5:$A$50,0)),"Paid late","Paid"),IF(G13&gt;=F13,"Fee due",IF(G13&gt;0,"Partial","Overdue"))))</f>
        <v>Paid late</v>
      </c>
    </row>
    <row r="14" customFormat="false" ht="15" hidden="false" customHeight="false" outlineLevel="0" collapsed="false">
      <c r="A14" s="28" t="s">
        <v>94</v>
      </c>
      <c r="B14" s="13" t="str">
        <f aca="false">IFERROR(INDEX(Tenancies!$B$5:$B$50,MATCH(A14,Tenancies!$A$5:$A$50,0)),"")</f>
        <v>P02</v>
      </c>
      <c r="C14" s="13" t="str">
        <f aca="false">IFERROR(INDEX(Tenancies!$D$5:$D$50,MATCH(A14,Tenancies!$A$5:$A$50,0)),"")</f>
        <v>M. Patel</v>
      </c>
      <c r="D14" s="30" t="n">
        <v>46296</v>
      </c>
      <c r="E14" s="33" t="n">
        <f aca="false">DATE(YEAR(D14),MONTH(D14),INDEX(Tenancies!$H$5:$H$50,MATCH(A14,Tenancies!$A$5:$A$50,0)))</f>
        <v>46300</v>
      </c>
      <c r="F14" s="24" t="n">
        <f aca="false">INDEX(Tenancies!$G$5:$G$50,MATCH(A14,Tenancies!$A$5:$A$50,0))</f>
        <v>1350</v>
      </c>
      <c r="G14" s="24" t="n">
        <f aca="false">SUMIFS(Payments!$F$5:$F$304,Payments!$B$5:$B$304,A14,Payments!$E$5:$E$304,D14)</f>
        <v>1350</v>
      </c>
      <c r="H14" s="33" t="n">
        <f aca="false">IF(G14=0,"",_xlfn.MAXIFS(Payments!$A$5:$A$304,Payments!$B$5:$B$304,A14,Payments!$E$5:$E$304,D14))</f>
        <v>46299</v>
      </c>
      <c r="I14" s="34" t="n">
        <f aca="false">IF(E14&gt;Settings!$B$4,0,IF(G14&gt;=F14,MAX(0,H14-E14),Settings!$B$4-E14))</f>
        <v>0</v>
      </c>
      <c r="J14" s="24" t="n">
        <f aca="false">IF(I14&gt;INDEX(Tenancies!$I$5:$I$50,MATCH(A14,Tenancies!$A$5:$A$50,0)),INDEX(Tenancies!$J$5:$J$50,MATCH(A14,Tenancies!$A$5:$A$50,0)),0)</f>
        <v>0</v>
      </c>
      <c r="K14" s="24" t="n">
        <f aca="false">SUMIFS(Payments!$G$5:$G$304,Payments!$B$5:$B$304,A14,Payments!$E$5:$E$304,D14)</f>
        <v>0</v>
      </c>
      <c r="L14" s="24" t="n">
        <f aca="false">IF(E14&gt;Settings!$B$4,0,MAX(0,F14+J14-G14-K14))</f>
        <v>0</v>
      </c>
      <c r="M14" s="16" t="str">
        <f aca="false">IF(E14&gt;Settings!$B$4,"Not due",IF(L14&lt;=0,IF(I14&gt;INDEX(Tenancies!$I$5:$I$50,MATCH(A14,Tenancies!$A$5:$A$50,0)),"Paid late","Paid"),IF(G14&gt;=F14,"Fee due",IF(G14&gt;0,"Partial","Overdue"))))</f>
        <v>Paid</v>
      </c>
    </row>
    <row r="15" customFormat="false" ht="15" hidden="false" customHeight="false" outlineLevel="0" collapsed="false">
      <c r="A15" s="28" t="s">
        <v>94</v>
      </c>
      <c r="B15" s="13" t="str">
        <f aca="false">IFERROR(INDEX(Tenancies!$B$5:$B$50,MATCH(A15,Tenancies!$A$5:$A$50,0)),"")</f>
        <v>P02</v>
      </c>
      <c r="C15" s="13" t="str">
        <f aca="false">IFERROR(INDEX(Tenancies!$D$5:$D$50,MATCH(A15,Tenancies!$A$5:$A$50,0)),"")</f>
        <v>M. Patel</v>
      </c>
      <c r="D15" s="30" t="n">
        <v>46327</v>
      </c>
      <c r="E15" s="33" t="n">
        <f aca="false">DATE(YEAR(D15),MONTH(D15),INDEX(Tenancies!$H$5:$H$50,MATCH(A15,Tenancies!$A$5:$A$50,0)))</f>
        <v>46331</v>
      </c>
      <c r="F15" s="24" t="n">
        <f aca="false">INDEX(Tenancies!$G$5:$G$50,MATCH(A15,Tenancies!$A$5:$A$50,0))</f>
        <v>1350</v>
      </c>
      <c r="G15" s="24" t="n">
        <f aca="false">SUMIFS(Payments!$F$5:$F$304,Payments!$B$5:$B$304,A15,Payments!$E$5:$E$304,D15)</f>
        <v>0</v>
      </c>
      <c r="H15" s="33" t="str">
        <f aca="false">IF(G15=0,"",_xlfn.MAXIFS(Payments!$A$5:$A$304,Payments!$B$5:$B$304,A15,Payments!$E$5:$E$304,D15))</f>
        <v/>
      </c>
      <c r="I15" s="34" t="n">
        <f aca="false">IF(E15&gt;Settings!$B$4,0,IF(G15&gt;=F15,MAX(0,H15-E15),Settings!$B$4-E15))</f>
        <v>0</v>
      </c>
      <c r="J15" s="24" t="n">
        <f aca="false">IF(I15&gt;INDEX(Tenancies!$I$5:$I$50,MATCH(A15,Tenancies!$A$5:$A$50,0)),INDEX(Tenancies!$J$5:$J$50,MATCH(A15,Tenancies!$A$5:$A$50,0)),0)</f>
        <v>0</v>
      </c>
      <c r="K15" s="24" t="n">
        <f aca="false">SUMIFS(Payments!$G$5:$G$304,Payments!$B$5:$B$304,A15,Payments!$E$5:$E$304,D15)</f>
        <v>0</v>
      </c>
      <c r="L15" s="24" t="n">
        <f aca="false">IF(E15&gt;Settings!$B$4,0,MAX(0,F15+J15-G15-K15))</f>
        <v>0</v>
      </c>
      <c r="M15" s="16" t="str">
        <f aca="false">IF(E15&gt;Settings!$B$4,"Not due",IF(L15&lt;=0,IF(I15&gt;INDEX(Tenancies!$I$5:$I$50,MATCH(A15,Tenancies!$A$5:$A$50,0)),"Paid late","Paid"),IF(G15&gt;=F15,"Fee due",IF(G15&gt;0,"Partial","Overdue"))))</f>
        <v>Not due</v>
      </c>
    </row>
    <row r="16" customFormat="false" ht="15" hidden="false" customHeight="false" outlineLevel="0" collapsed="false">
      <c r="A16" s="28" t="s">
        <v>94</v>
      </c>
      <c r="B16" s="13" t="str">
        <f aca="false">IFERROR(INDEX(Tenancies!$B$5:$B$50,MATCH(A16,Tenancies!$A$5:$A$50,0)),"")</f>
        <v>P02</v>
      </c>
      <c r="C16" s="13" t="str">
        <f aca="false">IFERROR(INDEX(Tenancies!$D$5:$D$50,MATCH(A16,Tenancies!$A$5:$A$50,0)),"")</f>
        <v>M. Patel</v>
      </c>
      <c r="D16" s="30" t="n">
        <v>46357</v>
      </c>
      <c r="E16" s="33" t="n">
        <f aca="false">DATE(YEAR(D16),MONTH(D16),INDEX(Tenancies!$H$5:$H$50,MATCH(A16,Tenancies!$A$5:$A$50,0)))</f>
        <v>46361</v>
      </c>
      <c r="F16" s="24" t="n">
        <f aca="false">INDEX(Tenancies!$G$5:$G$50,MATCH(A16,Tenancies!$A$5:$A$50,0))</f>
        <v>1350</v>
      </c>
      <c r="G16" s="24" t="n">
        <f aca="false">SUMIFS(Payments!$F$5:$F$304,Payments!$B$5:$B$304,A16,Payments!$E$5:$E$304,D16)</f>
        <v>0</v>
      </c>
      <c r="H16" s="33" t="str">
        <f aca="false">IF(G16=0,"",_xlfn.MAXIFS(Payments!$A$5:$A$304,Payments!$B$5:$B$304,A16,Payments!$E$5:$E$304,D16))</f>
        <v/>
      </c>
      <c r="I16" s="34" t="n">
        <f aca="false">IF(E16&gt;Settings!$B$4,0,IF(G16&gt;=F16,MAX(0,H16-E16),Settings!$B$4-E16))</f>
        <v>0</v>
      </c>
      <c r="J16" s="24" t="n">
        <f aca="false">IF(I16&gt;INDEX(Tenancies!$I$5:$I$50,MATCH(A16,Tenancies!$A$5:$A$50,0)),INDEX(Tenancies!$J$5:$J$50,MATCH(A16,Tenancies!$A$5:$A$50,0)),0)</f>
        <v>0</v>
      </c>
      <c r="K16" s="24" t="n">
        <f aca="false">SUMIFS(Payments!$G$5:$G$304,Payments!$B$5:$B$304,A16,Payments!$E$5:$E$304,D16)</f>
        <v>0</v>
      </c>
      <c r="L16" s="24" t="n">
        <f aca="false">IF(E16&gt;Settings!$B$4,0,MAX(0,F16+J16-G16-K16))</f>
        <v>0</v>
      </c>
      <c r="M16" s="16" t="str">
        <f aca="false">IF(E16&gt;Settings!$B$4,"Not due",IF(L16&lt;=0,IF(I16&gt;INDEX(Tenancies!$I$5:$I$50,MATCH(A16,Tenancies!$A$5:$A$50,0)),"Paid late","Paid"),IF(G16&gt;=F16,"Fee due",IF(G16&gt;0,"Partial","Overdue"))))</f>
        <v>Not due</v>
      </c>
    </row>
    <row r="17" customFormat="false" ht="15" hidden="false" customHeight="false" outlineLevel="0" collapsed="false">
      <c r="A17" s="28" t="s">
        <v>92</v>
      </c>
      <c r="B17" s="13" t="str">
        <f aca="false">IFERROR(INDEX(Tenancies!$B$5:$B$50,MATCH(A17,Tenancies!$A$5:$A$50,0)),"")</f>
        <v>P03</v>
      </c>
      <c r="C17" s="13" t="str">
        <f aca="false">IFERROR(INDEX(Tenancies!$D$5:$D$50,MATCH(A17,Tenancies!$A$5:$A$50,0)),"")</f>
        <v>S. Nowak</v>
      </c>
      <c r="D17" s="30" t="n">
        <v>46204</v>
      </c>
      <c r="E17" s="33" t="n">
        <f aca="false">DATE(YEAR(D17),MONTH(D17),INDEX(Tenancies!$H$5:$H$50,MATCH(A17,Tenancies!$A$5:$A$50,0)))</f>
        <v>46204</v>
      </c>
      <c r="F17" s="24" t="n">
        <f aca="false">INDEX(Tenancies!$G$5:$G$50,MATCH(A17,Tenancies!$A$5:$A$50,0))</f>
        <v>875</v>
      </c>
      <c r="G17" s="24" t="n">
        <f aca="false">SUMIFS(Payments!$F$5:$F$304,Payments!$B$5:$B$304,A17,Payments!$E$5:$E$304,D17)</f>
        <v>875</v>
      </c>
      <c r="H17" s="33" t="n">
        <f aca="false">IF(G17=0,"",_xlfn.MAXIFS(Payments!$A$5:$A$304,Payments!$B$5:$B$304,A17,Payments!$E$5:$E$304,D17))</f>
        <v>46204</v>
      </c>
      <c r="I17" s="34" t="n">
        <f aca="false">IF(E17&gt;Settings!$B$4,0,IF(G17&gt;=F17,MAX(0,H17-E17),Settings!$B$4-E17))</f>
        <v>0</v>
      </c>
      <c r="J17" s="24" t="n">
        <f aca="false">IF(I17&gt;INDEX(Tenancies!$I$5:$I$50,MATCH(A17,Tenancies!$A$5:$A$50,0)),INDEX(Tenancies!$J$5:$J$50,MATCH(A17,Tenancies!$A$5:$A$50,0)),0)</f>
        <v>0</v>
      </c>
      <c r="K17" s="24" t="n">
        <f aca="false">SUMIFS(Payments!$G$5:$G$304,Payments!$B$5:$B$304,A17,Payments!$E$5:$E$304,D17)</f>
        <v>0</v>
      </c>
      <c r="L17" s="24" t="n">
        <f aca="false">IF(E17&gt;Settings!$B$4,0,MAX(0,F17+J17-G17-K17))</f>
        <v>0</v>
      </c>
      <c r="M17" s="16" t="str">
        <f aca="false">IF(E17&gt;Settings!$B$4,"Not due",IF(L17&lt;=0,IF(I17&gt;INDEX(Tenancies!$I$5:$I$50,MATCH(A17,Tenancies!$A$5:$A$50,0)),"Paid late","Paid"),IF(G17&gt;=F17,"Fee due",IF(G17&gt;0,"Partial","Overdue"))))</f>
        <v>Paid</v>
      </c>
    </row>
    <row r="18" customFormat="false" ht="15" hidden="false" customHeight="false" outlineLevel="0" collapsed="false">
      <c r="A18" s="28" t="s">
        <v>92</v>
      </c>
      <c r="B18" s="13" t="str">
        <f aca="false">IFERROR(INDEX(Tenancies!$B$5:$B$50,MATCH(A18,Tenancies!$A$5:$A$50,0)),"")</f>
        <v>P03</v>
      </c>
      <c r="C18" s="13" t="str">
        <f aca="false">IFERROR(INDEX(Tenancies!$D$5:$D$50,MATCH(A18,Tenancies!$A$5:$A$50,0)),"")</f>
        <v>S. Nowak</v>
      </c>
      <c r="D18" s="30" t="n">
        <v>46235</v>
      </c>
      <c r="E18" s="33" t="n">
        <f aca="false">DATE(YEAR(D18),MONTH(D18),INDEX(Tenancies!$H$5:$H$50,MATCH(A18,Tenancies!$A$5:$A$50,0)))</f>
        <v>46235</v>
      </c>
      <c r="F18" s="24" t="n">
        <f aca="false">INDEX(Tenancies!$G$5:$G$50,MATCH(A18,Tenancies!$A$5:$A$50,0))</f>
        <v>875</v>
      </c>
      <c r="G18" s="24" t="n">
        <f aca="false">SUMIFS(Payments!$F$5:$F$304,Payments!$B$5:$B$304,A18,Payments!$E$5:$E$304,D18)</f>
        <v>875</v>
      </c>
      <c r="H18" s="33" t="n">
        <f aca="false">IF(G18=0,"",_xlfn.MAXIFS(Payments!$A$5:$A$304,Payments!$B$5:$B$304,A18,Payments!$E$5:$E$304,D18))</f>
        <v>46235</v>
      </c>
      <c r="I18" s="34" t="n">
        <f aca="false">IF(E18&gt;Settings!$B$4,0,IF(G18&gt;=F18,MAX(0,H18-E18),Settings!$B$4-E18))</f>
        <v>0</v>
      </c>
      <c r="J18" s="24" t="n">
        <f aca="false">IF(I18&gt;INDEX(Tenancies!$I$5:$I$50,MATCH(A18,Tenancies!$A$5:$A$50,0)),INDEX(Tenancies!$J$5:$J$50,MATCH(A18,Tenancies!$A$5:$A$50,0)),0)</f>
        <v>0</v>
      </c>
      <c r="K18" s="24" t="n">
        <f aca="false">SUMIFS(Payments!$G$5:$G$304,Payments!$B$5:$B$304,A18,Payments!$E$5:$E$304,D18)</f>
        <v>0</v>
      </c>
      <c r="L18" s="24" t="n">
        <f aca="false">IF(E18&gt;Settings!$B$4,0,MAX(0,F18+J18-G18-K18))</f>
        <v>0</v>
      </c>
      <c r="M18" s="16" t="str">
        <f aca="false">IF(E18&gt;Settings!$B$4,"Not due",IF(L18&lt;=0,IF(I18&gt;INDEX(Tenancies!$I$5:$I$50,MATCH(A18,Tenancies!$A$5:$A$50,0)),"Paid late","Paid"),IF(G18&gt;=F18,"Fee due",IF(G18&gt;0,"Partial","Overdue"))))</f>
        <v>Paid</v>
      </c>
    </row>
    <row r="19" customFormat="false" ht="15" hidden="false" customHeight="false" outlineLevel="0" collapsed="false">
      <c r="A19" s="28" t="s">
        <v>92</v>
      </c>
      <c r="B19" s="13" t="str">
        <f aca="false">IFERROR(INDEX(Tenancies!$B$5:$B$50,MATCH(A19,Tenancies!$A$5:$A$50,0)),"")</f>
        <v>P03</v>
      </c>
      <c r="C19" s="13" t="str">
        <f aca="false">IFERROR(INDEX(Tenancies!$D$5:$D$50,MATCH(A19,Tenancies!$A$5:$A$50,0)),"")</f>
        <v>S. Nowak</v>
      </c>
      <c r="D19" s="30" t="n">
        <v>46266</v>
      </c>
      <c r="E19" s="33" t="n">
        <f aca="false">DATE(YEAR(D19),MONTH(D19),INDEX(Tenancies!$H$5:$H$50,MATCH(A19,Tenancies!$A$5:$A$50,0)))</f>
        <v>46266</v>
      </c>
      <c r="F19" s="24" t="n">
        <f aca="false">INDEX(Tenancies!$G$5:$G$50,MATCH(A19,Tenancies!$A$5:$A$50,0))</f>
        <v>875</v>
      </c>
      <c r="G19" s="24" t="n">
        <f aca="false">SUMIFS(Payments!$F$5:$F$304,Payments!$B$5:$B$304,A19,Payments!$E$5:$E$304,D19)</f>
        <v>875</v>
      </c>
      <c r="H19" s="33" t="n">
        <f aca="false">IF(G19=0,"",_xlfn.MAXIFS(Payments!$A$5:$A$304,Payments!$B$5:$B$304,A19,Payments!$E$5:$E$304,D19))</f>
        <v>46266</v>
      </c>
      <c r="I19" s="34" t="n">
        <f aca="false">IF(E19&gt;Settings!$B$4,0,IF(G19&gt;=F19,MAX(0,H19-E19),Settings!$B$4-E19))</f>
        <v>0</v>
      </c>
      <c r="J19" s="24" t="n">
        <f aca="false">IF(I19&gt;INDEX(Tenancies!$I$5:$I$50,MATCH(A19,Tenancies!$A$5:$A$50,0)),INDEX(Tenancies!$J$5:$J$50,MATCH(A19,Tenancies!$A$5:$A$50,0)),0)</f>
        <v>0</v>
      </c>
      <c r="K19" s="24" t="n">
        <f aca="false">SUMIFS(Payments!$G$5:$G$304,Payments!$B$5:$B$304,A19,Payments!$E$5:$E$304,D19)</f>
        <v>0</v>
      </c>
      <c r="L19" s="24" t="n">
        <f aca="false">IF(E19&gt;Settings!$B$4,0,MAX(0,F19+J19-G19-K19))</f>
        <v>0</v>
      </c>
      <c r="M19" s="16" t="str">
        <f aca="false">IF(E19&gt;Settings!$B$4,"Not due",IF(L19&lt;=0,IF(I19&gt;INDEX(Tenancies!$I$5:$I$50,MATCH(A19,Tenancies!$A$5:$A$50,0)),"Paid late","Paid"),IF(G19&gt;=F19,"Fee due",IF(G19&gt;0,"Partial","Overdue"))))</f>
        <v>Paid</v>
      </c>
    </row>
    <row r="20" customFormat="false" ht="15" hidden="false" customHeight="false" outlineLevel="0" collapsed="false">
      <c r="A20" s="28" t="s">
        <v>92</v>
      </c>
      <c r="B20" s="13" t="str">
        <f aca="false">IFERROR(INDEX(Tenancies!$B$5:$B$50,MATCH(A20,Tenancies!$A$5:$A$50,0)),"")</f>
        <v>P03</v>
      </c>
      <c r="C20" s="13" t="str">
        <f aca="false">IFERROR(INDEX(Tenancies!$D$5:$D$50,MATCH(A20,Tenancies!$A$5:$A$50,0)),"")</f>
        <v>S. Nowak</v>
      </c>
      <c r="D20" s="30" t="n">
        <v>46296</v>
      </c>
      <c r="E20" s="33" t="n">
        <f aca="false">DATE(YEAR(D20),MONTH(D20),INDEX(Tenancies!$H$5:$H$50,MATCH(A20,Tenancies!$A$5:$A$50,0)))</f>
        <v>46296</v>
      </c>
      <c r="F20" s="24" t="n">
        <f aca="false">INDEX(Tenancies!$G$5:$G$50,MATCH(A20,Tenancies!$A$5:$A$50,0))</f>
        <v>875</v>
      </c>
      <c r="G20" s="24" t="n">
        <f aca="false">SUMIFS(Payments!$F$5:$F$304,Payments!$B$5:$B$304,A20,Payments!$E$5:$E$304,D20)</f>
        <v>500</v>
      </c>
      <c r="H20" s="33" t="n">
        <f aca="false">IF(G20=0,"",_xlfn.MAXIFS(Payments!$A$5:$A$304,Payments!$B$5:$B$304,A20,Payments!$E$5:$E$304,D20))</f>
        <v>46296</v>
      </c>
      <c r="I20" s="34" t="n">
        <f aca="false">IF(E20&gt;Settings!$B$4,0,IF(G20&gt;=F20,MAX(0,H20-E20),Settings!$B$4-E20))</f>
        <v>22</v>
      </c>
      <c r="J20" s="24" t="n">
        <f aca="false">IF(I20&gt;INDEX(Tenancies!$I$5:$I$50,MATCH(A20,Tenancies!$A$5:$A$50,0)),INDEX(Tenancies!$J$5:$J$50,MATCH(A20,Tenancies!$A$5:$A$50,0)),0)</f>
        <v>35</v>
      </c>
      <c r="K20" s="24" t="n">
        <f aca="false">SUMIFS(Payments!$G$5:$G$304,Payments!$B$5:$B$304,A20,Payments!$E$5:$E$304,D20)</f>
        <v>0</v>
      </c>
      <c r="L20" s="24" t="n">
        <f aca="false">IF(E20&gt;Settings!$B$4,0,MAX(0,F20+J20-G20-K20))</f>
        <v>410</v>
      </c>
      <c r="M20" s="16" t="str">
        <f aca="false">IF(E20&gt;Settings!$B$4,"Not due",IF(L20&lt;=0,IF(I20&gt;INDEX(Tenancies!$I$5:$I$50,MATCH(A20,Tenancies!$A$5:$A$50,0)),"Paid late","Paid"),IF(G20&gt;=F20,"Fee due",IF(G20&gt;0,"Partial","Overdue"))))</f>
        <v>Partial</v>
      </c>
    </row>
    <row r="21" customFormat="false" ht="15" hidden="false" customHeight="false" outlineLevel="0" collapsed="false">
      <c r="A21" s="28" t="s">
        <v>92</v>
      </c>
      <c r="B21" s="13" t="str">
        <f aca="false">IFERROR(INDEX(Tenancies!$B$5:$B$50,MATCH(A21,Tenancies!$A$5:$A$50,0)),"")</f>
        <v>P03</v>
      </c>
      <c r="C21" s="13" t="str">
        <f aca="false">IFERROR(INDEX(Tenancies!$D$5:$D$50,MATCH(A21,Tenancies!$A$5:$A$50,0)),"")</f>
        <v>S. Nowak</v>
      </c>
      <c r="D21" s="30" t="n">
        <v>46327</v>
      </c>
      <c r="E21" s="33" t="n">
        <f aca="false">DATE(YEAR(D21),MONTH(D21),INDEX(Tenancies!$H$5:$H$50,MATCH(A21,Tenancies!$A$5:$A$50,0)))</f>
        <v>46327</v>
      </c>
      <c r="F21" s="24" t="n">
        <f aca="false">INDEX(Tenancies!$G$5:$G$50,MATCH(A21,Tenancies!$A$5:$A$50,0))</f>
        <v>875</v>
      </c>
      <c r="G21" s="24" t="n">
        <f aca="false">SUMIFS(Payments!$F$5:$F$304,Payments!$B$5:$B$304,A21,Payments!$E$5:$E$304,D21)</f>
        <v>0</v>
      </c>
      <c r="H21" s="33" t="str">
        <f aca="false">IF(G21=0,"",_xlfn.MAXIFS(Payments!$A$5:$A$304,Payments!$B$5:$B$304,A21,Payments!$E$5:$E$304,D21))</f>
        <v/>
      </c>
      <c r="I21" s="34" t="n">
        <f aca="false">IF(E21&gt;Settings!$B$4,0,IF(G21&gt;=F21,MAX(0,H21-E21),Settings!$B$4-E21))</f>
        <v>0</v>
      </c>
      <c r="J21" s="24" t="n">
        <f aca="false">IF(I21&gt;INDEX(Tenancies!$I$5:$I$50,MATCH(A21,Tenancies!$A$5:$A$50,0)),INDEX(Tenancies!$J$5:$J$50,MATCH(A21,Tenancies!$A$5:$A$50,0)),0)</f>
        <v>0</v>
      </c>
      <c r="K21" s="24" t="n">
        <f aca="false">SUMIFS(Payments!$G$5:$G$304,Payments!$B$5:$B$304,A21,Payments!$E$5:$E$304,D21)</f>
        <v>0</v>
      </c>
      <c r="L21" s="24" t="n">
        <f aca="false">IF(E21&gt;Settings!$B$4,0,MAX(0,F21+J21-G21-K21))</f>
        <v>0</v>
      </c>
      <c r="M21" s="16" t="str">
        <f aca="false">IF(E21&gt;Settings!$B$4,"Not due",IF(L21&lt;=0,IF(I21&gt;INDEX(Tenancies!$I$5:$I$50,MATCH(A21,Tenancies!$A$5:$A$50,0)),"Paid late","Paid"),IF(G21&gt;=F21,"Fee due",IF(G21&gt;0,"Partial","Overdue"))))</f>
        <v>Not due</v>
      </c>
    </row>
    <row r="22" customFormat="false" ht="15" hidden="false" customHeight="false" outlineLevel="0" collapsed="false">
      <c r="A22" s="28" t="s">
        <v>92</v>
      </c>
      <c r="B22" s="13" t="str">
        <f aca="false">IFERROR(INDEX(Tenancies!$B$5:$B$50,MATCH(A22,Tenancies!$A$5:$A$50,0)),"")</f>
        <v>P03</v>
      </c>
      <c r="C22" s="13" t="str">
        <f aca="false">IFERROR(INDEX(Tenancies!$D$5:$D$50,MATCH(A22,Tenancies!$A$5:$A$50,0)),"")</f>
        <v>S. Nowak</v>
      </c>
      <c r="D22" s="30" t="n">
        <v>46357</v>
      </c>
      <c r="E22" s="33" t="n">
        <f aca="false">DATE(YEAR(D22),MONTH(D22),INDEX(Tenancies!$H$5:$H$50,MATCH(A22,Tenancies!$A$5:$A$50,0)))</f>
        <v>46357</v>
      </c>
      <c r="F22" s="24" t="n">
        <f aca="false">INDEX(Tenancies!$G$5:$G$50,MATCH(A22,Tenancies!$A$5:$A$50,0))</f>
        <v>875</v>
      </c>
      <c r="G22" s="24" t="n">
        <f aca="false">SUMIFS(Payments!$F$5:$F$304,Payments!$B$5:$B$304,A22,Payments!$E$5:$E$304,D22)</f>
        <v>0</v>
      </c>
      <c r="H22" s="33" t="str">
        <f aca="false">IF(G22=0,"",_xlfn.MAXIFS(Payments!$A$5:$A$304,Payments!$B$5:$B$304,A22,Payments!$E$5:$E$304,D22))</f>
        <v/>
      </c>
      <c r="I22" s="34" t="n">
        <f aca="false">IF(E22&gt;Settings!$B$4,0,IF(G22&gt;=F22,MAX(0,H22-E22),Settings!$B$4-E22))</f>
        <v>0</v>
      </c>
      <c r="J22" s="24" t="n">
        <f aca="false">IF(I22&gt;INDEX(Tenancies!$I$5:$I$50,MATCH(A22,Tenancies!$A$5:$A$50,0)),INDEX(Tenancies!$J$5:$J$50,MATCH(A22,Tenancies!$A$5:$A$50,0)),0)</f>
        <v>0</v>
      </c>
      <c r="K22" s="24" t="n">
        <f aca="false">SUMIFS(Payments!$G$5:$G$304,Payments!$B$5:$B$304,A22,Payments!$E$5:$E$304,D22)</f>
        <v>0</v>
      </c>
      <c r="L22" s="24" t="n">
        <f aca="false">IF(E22&gt;Settings!$B$4,0,MAX(0,F22+J22-G22-K22))</f>
        <v>0</v>
      </c>
      <c r="M22" s="16" t="str">
        <f aca="false">IF(E22&gt;Settings!$B$4,"Not due",IF(L22&lt;=0,IF(I22&gt;INDEX(Tenancies!$I$5:$I$50,MATCH(A22,Tenancies!$A$5:$A$50,0)),"Paid late","Paid"),IF(G22&gt;=F22,"Fee due",IF(G22&gt;0,"Partial","Overdue"))))</f>
        <v>Not due</v>
      </c>
    </row>
    <row r="23" customFormat="false" ht="15" hidden="false" customHeight="false" outlineLevel="0" collapsed="false">
      <c r="A23" s="28" t="s">
        <v>95</v>
      </c>
      <c r="B23" s="13" t="str">
        <f aca="false">IFERROR(INDEX(Tenancies!$B$5:$B$50,MATCH(A23,Tenancies!$A$5:$A$50,0)),"")</f>
        <v>P04</v>
      </c>
      <c r="C23" s="13" t="str">
        <f aca="false">IFERROR(INDEX(Tenancies!$D$5:$D$50,MATCH(A23,Tenancies!$A$5:$A$50,0)),"")</f>
        <v>A. Okafor</v>
      </c>
      <c r="D23" s="30" t="n">
        <v>46204</v>
      </c>
      <c r="E23" s="33" t="n">
        <f aca="false">DATE(YEAR(D23),MONTH(D23),INDEX(Tenancies!$H$5:$H$50,MATCH(A23,Tenancies!$A$5:$A$50,0)))</f>
        <v>46213</v>
      </c>
      <c r="F23" s="24" t="n">
        <f aca="false">INDEX(Tenancies!$G$5:$G$50,MATCH(A23,Tenancies!$A$5:$A$50,0))</f>
        <v>1600</v>
      </c>
      <c r="G23" s="24" t="n">
        <f aca="false">SUMIFS(Payments!$F$5:$F$304,Payments!$B$5:$B$304,A23,Payments!$E$5:$E$304,D23)</f>
        <v>1600</v>
      </c>
      <c r="H23" s="33" t="n">
        <f aca="false">IF(G23=0,"",_xlfn.MAXIFS(Payments!$A$5:$A$304,Payments!$B$5:$B$304,A23,Payments!$E$5:$E$304,D23))</f>
        <v>46212</v>
      </c>
      <c r="I23" s="34" t="n">
        <f aca="false">IF(E23&gt;Settings!$B$4,0,IF(G23&gt;=F23,MAX(0,H23-E23),Settings!$B$4-E23))</f>
        <v>0</v>
      </c>
      <c r="J23" s="24" t="n">
        <f aca="false">IF(I23&gt;INDEX(Tenancies!$I$5:$I$50,MATCH(A23,Tenancies!$A$5:$A$50,0)),INDEX(Tenancies!$J$5:$J$50,MATCH(A23,Tenancies!$A$5:$A$50,0)),0)</f>
        <v>0</v>
      </c>
      <c r="K23" s="24" t="n">
        <f aca="false">SUMIFS(Payments!$G$5:$G$304,Payments!$B$5:$B$304,A23,Payments!$E$5:$E$304,D23)</f>
        <v>0</v>
      </c>
      <c r="L23" s="24" t="n">
        <f aca="false">IF(E23&gt;Settings!$B$4,0,MAX(0,F23+J23-G23-K23))</f>
        <v>0</v>
      </c>
      <c r="M23" s="16" t="str">
        <f aca="false">IF(E23&gt;Settings!$B$4,"Not due",IF(L23&lt;=0,IF(I23&gt;INDEX(Tenancies!$I$5:$I$50,MATCH(A23,Tenancies!$A$5:$A$50,0)),"Paid late","Paid"),IF(G23&gt;=F23,"Fee due",IF(G23&gt;0,"Partial","Overdue"))))</f>
        <v>Paid</v>
      </c>
    </row>
    <row r="24" customFormat="false" ht="15" hidden="false" customHeight="false" outlineLevel="0" collapsed="false">
      <c r="A24" s="28" t="s">
        <v>95</v>
      </c>
      <c r="B24" s="13" t="str">
        <f aca="false">IFERROR(INDEX(Tenancies!$B$5:$B$50,MATCH(A24,Tenancies!$A$5:$A$50,0)),"")</f>
        <v>P04</v>
      </c>
      <c r="C24" s="13" t="str">
        <f aca="false">IFERROR(INDEX(Tenancies!$D$5:$D$50,MATCH(A24,Tenancies!$A$5:$A$50,0)),"")</f>
        <v>A. Okafor</v>
      </c>
      <c r="D24" s="30" t="n">
        <v>46235</v>
      </c>
      <c r="E24" s="33" t="n">
        <f aca="false">DATE(YEAR(D24),MONTH(D24),INDEX(Tenancies!$H$5:$H$50,MATCH(A24,Tenancies!$A$5:$A$50,0)))</f>
        <v>46244</v>
      </c>
      <c r="F24" s="24" t="n">
        <f aca="false">INDEX(Tenancies!$G$5:$G$50,MATCH(A24,Tenancies!$A$5:$A$50,0))</f>
        <v>1600</v>
      </c>
      <c r="G24" s="24" t="n">
        <f aca="false">SUMIFS(Payments!$F$5:$F$304,Payments!$B$5:$B$304,A24,Payments!$E$5:$E$304,D24)</f>
        <v>1600</v>
      </c>
      <c r="H24" s="33" t="n">
        <f aca="false">IF(G24=0,"",_xlfn.MAXIFS(Payments!$A$5:$A$304,Payments!$B$5:$B$304,A24,Payments!$E$5:$E$304,D24))</f>
        <v>46243</v>
      </c>
      <c r="I24" s="34" t="n">
        <f aca="false">IF(E24&gt;Settings!$B$4,0,IF(G24&gt;=F24,MAX(0,H24-E24),Settings!$B$4-E24))</f>
        <v>0</v>
      </c>
      <c r="J24" s="24" t="n">
        <f aca="false">IF(I24&gt;INDEX(Tenancies!$I$5:$I$50,MATCH(A24,Tenancies!$A$5:$A$50,0)),INDEX(Tenancies!$J$5:$J$50,MATCH(A24,Tenancies!$A$5:$A$50,0)),0)</f>
        <v>0</v>
      </c>
      <c r="K24" s="24" t="n">
        <f aca="false">SUMIFS(Payments!$G$5:$G$304,Payments!$B$5:$B$304,A24,Payments!$E$5:$E$304,D24)</f>
        <v>0</v>
      </c>
      <c r="L24" s="24" t="n">
        <f aca="false">IF(E24&gt;Settings!$B$4,0,MAX(0,F24+J24-G24-K24))</f>
        <v>0</v>
      </c>
      <c r="M24" s="16" t="str">
        <f aca="false">IF(E24&gt;Settings!$B$4,"Not due",IF(L24&lt;=0,IF(I24&gt;INDEX(Tenancies!$I$5:$I$50,MATCH(A24,Tenancies!$A$5:$A$50,0)),"Paid late","Paid"),IF(G24&gt;=F24,"Fee due",IF(G24&gt;0,"Partial","Overdue"))))</f>
        <v>Paid</v>
      </c>
    </row>
    <row r="25" customFormat="false" ht="15" hidden="false" customHeight="false" outlineLevel="0" collapsed="false">
      <c r="A25" s="28" t="s">
        <v>95</v>
      </c>
      <c r="B25" s="13" t="str">
        <f aca="false">IFERROR(INDEX(Tenancies!$B$5:$B$50,MATCH(A25,Tenancies!$A$5:$A$50,0)),"")</f>
        <v>P04</v>
      </c>
      <c r="C25" s="13" t="str">
        <f aca="false">IFERROR(INDEX(Tenancies!$D$5:$D$50,MATCH(A25,Tenancies!$A$5:$A$50,0)),"")</f>
        <v>A. Okafor</v>
      </c>
      <c r="D25" s="30" t="n">
        <v>46266</v>
      </c>
      <c r="E25" s="33" t="n">
        <f aca="false">DATE(YEAR(D25),MONTH(D25),INDEX(Tenancies!$H$5:$H$50,MATCH(A25,Tenancies!$A$5:$A$50,0)))</f>
        <v>46275</v>
      </c>
      <c r="F25" s="24" t="n">
        <f aca="false">INDEX(Tenancies!$G$5:$G$50,MATCH(A25,Tenancies!$A$5:$A$50,0))</f>
        <v>1600</v>
      </c>
      <c r="G25" s="24" t="n">
        <f aca="false">SUMIFS(Payments!$F$5:$F$304,Payments!$B$5:$B$304,A25,Payments!$E$5:$E$304,D25)</f>
        <v>1600</v>
      </c>
      <c r="H25" s="33" t="n">
        <f aca="false">IF(G25=0,"",_xlfn.MAXIFS(Payments!$A$5:$A$304,Payments!$B$5:$B$304,A25,Payments!$E$5:$E$304,D25))</f>
        <v>46274</v>
      </c>
      <c r="I25" s="34" t="n">
        <f aca="false">IF(E25&gt;Settings!$B$4,0,IF(G25&gt;=F25,MAX(0,H25-E25),Settings!$B$4-E25))</f>
        <v>0</v>
      </c>
      <c r="J25" s="24" t="n">
        <f aca="false">IF(I25&gt;INDEX(Tenancies!$I$5:$I$50,MATCH(A25,Tenancies!$A$5:$A$50,0)),INDEX(Tenancies!$J$5:$J$50,MATCH(A25,Tenancies!$A$5:$A$50,0)),0)</f>
        <v>0</v>
      </c>
      <c r="K25" s="24" t="n">
        <f aca="false">SUMIFS(Payments!$G$5:$G$304,Payments!$B$5:$B$304,A25,Payments!$E$5:$E$304,D25)</f>
        <v>0</v>
      </c>
      <c r="L25" s="24" t="n">
        <f aca="false">IF(E25&gt;Settings!$B$4,0,MAX(0,F25+J25-G25-K25))</f>
        <v>0</v>
      </c>
      <c r="M25" s="16" t="str">
        <f aca="false">IF(E25&gt;Settings!$B$4,"Not due",IF(L25&lt;=0,IF(I25&gt;INDEX(Tenancies!$I$5:$I$50,MATCH(A25,Tenancies!$A$5:$A$50,0)),"Paid late","Paid"),IF(G25&gt;=F25,"Fee due",IF(G25&gt;0,"Partial","Overdue"))))</f>
        <v>Paid</v>
      </c>
    </row>
    <row r="26" customFormat="false" ht="15" hidden="false" customHeight="false" outlineLevel="0" collapsed="false">
      <c r="A26" s="28" t="s">
        <v>95</v>
      </c>
      <c r="B26" s="13" t="str">
        <f aca="false">IFERROR(INDEX(Tenancies!$B$5:$B$50,MATCH(A26,Tenancies!$A$5:$A$50,0)),"")</f>
        <v>P04</v>
      </c>
      <c r="C26" s="13" t="str">
        <f aca="false">IFERROR(INDEX(Tenancies!$D$5:$D$50,MATCH(A26,Tenancies!$A$5:$A$50,0)),"")</f>
        <v>A. Okafor</v>
      </c>
      <c r="D26" s="30" t="n">
        <v>46296</v>
      </c>
      <c r="E26" s="33" t="n">
        <f aca="false">DATE(YEAR(D26),MONTH(D26),INDEX(Tenancies!$H$5:$H$50,MATCH(A26,Tenancies!$A$5:$A$50,0)))</f>
        <v>46305</v>
      </c>
      <c r="F26" s="24" t="n">
        <f aca="false">INDEX(Tenancies!$G$5:$G$50,MATCH(A26,Tenancies!$A$5:$A$50,0))</f>
        <v>1600</v>
      </c>
      <c r="G26" s="24" t="n">
        <f aca="false">SUMIFS(Payments!$F$5:$F$304,Payments!$B$5:$B$304,A26,Payments!$E$5:$E$304,D26)</f>
        <v>0</v>
      </c>
      <c r="H26" s="33" t="str">
        <f aca="false">IF(G26=0,"",_xlfn.MAXIFS(Payments!$A$5:$A$304,Payments!$B$5:$B$304,A26,Payments!$E$5:$E$304,D26))</f>
        <v/>
      </c>
      <c r="I26" s="34" t="n">
        <f aca="false">IF(E26&gt;Settings!$B$4,0,IF(G26&gt;=F26,MAX(0,H26-E26),Settings!$B$4-E26))</f>
        <v>13</v>
      </c>
      <c r="J26" s="24" t="n">
        <f aca="false">IF(I26&gt;INDEX(Tenancies!$I$5:$I$50,MATCH(A26,Tenancies!$A$5:$A$50,0)),INDEX(Tenancies!$J$5:$J$50,MATCH(A26,Tenancies!$A$5:$A$50,0)),0)</f>
        <v>75</v>
      </c>
      <c r="K26" s="24" t="n">
        <f aca="false">SUMIFS(Payments!$G$5:$G$304,Payments!$B$5:$B$304,A26,Payments!$E$5:$E$304,D26)</f>
        <v>0</v>
      </c>
      <c r="L26" s="24" t="n">
        <f aca="false">IF(E26&gt;Settings!$B$4,0,MAX(0,F26+J26-G26-K26))</f>
        <v>1675</v>
      </c>
      <c r="M26" s="16" t="str">
        <f aca="false">IF(E26&gt;Settings!$B$4,"Not due",IF(L26&lt;=0,IF(I26&gt;INDEX(Tenancies!$I$5:$I$50,MATCH(A26,Tenancies!$A$5:$A$50,0)),"Paid late","Paid"),IF(G26&gt;=F26,"Fee due",IF(G26&gt;0,"Partial","Overdue"))))</f>
        <v>Overdue</v>
      </c>
    </row>
    <row r="27" customFormat="false" ht="15" hidden="false" customHeight="false" outlineLevel="0" collapsed="false">
      <c r="A27" s="28" t="s">
        <v>95</v>
      </c>
      <c r="B27" s="13" t="str">
        <f aca="false">IFERROR(INDEX(Tenancies!$B$5:$B$50,MATCH(A27,Tenancies!$A$5:$A$50,0)),"")</f>
        <v>P04</v>
      </c>
      <c r="C27" s="13" t="str">
        <f aca="false">IFERROR(INDEX(Tenancies!$D$5:$D$50,MATCH(A27,Tenancies!$A$5:$A$50,0)),"")</f>
        <v>A. Okafor</v>
      </c>
      <c r="D27" s="30" t="n">
        <v>46327</v>
      </c>
      <c r="E27" s="33" t="n">
        <f aca="false">DATE(YEAR(D27),MONTH(D27),INDEX(Tenancies!$H$5:$H$50,MATCH(A27,Tenancies!$A$5:$A$50,0)))</f>
        <v>46336</v>
      </c>
      <c r="F27" s="24" t="n">
        <f aca="false">INDEX(Tenancies!$G$5:$G$50,MATCH(A27,Tenancies!$A$5:$A$50,0))</f>
        <v>1600</v>
      </c>
      <c r="G27" s="24" t="n">
        <f aca="false">SUMIFS(Payments!$F$5:$F$304,Payments!$B$5:$B$304,A27,Payments!$E$5:$E$304,D27)</f>
        <v>0</v>
      </c>
      <c r="H27" s="33" t="str">
        <f aca="false">IF(G27=0,"",_xlfn.MAXIFS(Payments!$A$5:$A$304,Payments!$B$5:$B$304,A27,Payments!$E$5:$E$304,D27))</f>
        <v/>
      </c>
      <c r="I27" s="34" t="n">
        <f aca="false">IF(E27&gt;Settings!$B$4,0,IF(G27&gt;=F27,MAX(0,H27-E27),Settings!$B$4-E27))</f>
        <v>0</v>
      </c>
      <c r="J27" s="24" t="n">
        <f aca="false">IF(I27&gt;INDEX(Tenancies!$I$5:$I$50,MATCH(A27,Tenancies!$A$5:$A$50,0)),INDEX(Tenancies!$J$5:$J$50,MATCH(A27,Tenancies!$A$5:$A$50,0)),0)</f>
        <v>0</v>
      </c>
      <c r="K27" s="24" t="n">
        <f aca="false">SUMIFS(Payments!$G$5:$G$304,Payments!$B$5:$B$304,A27,Payments!$E$5:$E$304,D27)</f>
        <v>0</v>
      </c>
      <c r="L27" s="24" t="n">
        <f aca="false">IF(E27&gt;Settings!$B$4,0,MAX(0,F27+J27-G27-K27))</f>
        <v>0</v>
      </c>
      <c r="M27" s="16" t="str">
        <f aca="false">IF(E27&gt;Settings!$B$4,"Not due",IF(L27&lt;=0,IF(I27&gt;INDEX(Tenancies!$I$5:$I$50,MATCH(A27,Tenancies!$A$5:$A$50,0)),"Paid late","Paid"),IF(G27&gt;=F27,"Fee due",IF(G27&gt;0,"Partial","Overdue"))))</f>
        <v>Not due</v>
      </c>
    </row>
    <row r="28" customFormat="false" ht="15" hidden="false" customHeight="false" outlineLevel="0" collapsed="false">
      <c r="A28" s="28" t="s">
        <v>95</v>
      </c>
      <c r="B28" s="13" t="str">
        <f aca="false">IFERROR(INDEX(Tenancies!$B$5:$B$50,MATCH(A28,Tenancies!$A$5:$A$50,0)),"")</f>
        <v>P04</v>
      </c>
      <c r="C28" s="13" t="str">
        <f aca="false">IFERROR(INDEX(Tenancies!$D$5:$D$50,MATCH(A28,Tenancies!$A$5:$A$50,0)),"")</f>
        <v>A. Okafor</v>
      </c>
      <c r="D28" s="30" t="n">
        <v>46357</v>
      </c>
      <c r="E28" s="33" t="n">
        <f aca="false">DATE(YEAR(D28),MONTH(D28),INDEX(Tenancies!$H$5:$H$50,MATCH(A28,Tenancies!$A$5:$A$50,0)))</f>
        <v>46366</v>
      </c>
      <c r="F28" s="24" t="n">
        <f aca="false">INDEX(Tenancies!$G$5:$G$50,MATCH(A28,Tenancies!$A$5:$A$50,0))</f>
        <v>1600</v>
      </c>
      <c r="G28" s="24" t="n">
        <f aca="false">SUMIFS(Payments!$F$5:$F$304,Payments!$B$5:$B$304,A28,Payments!$E$5:$E$304,D28)</f>
        <v>0</v>
      </c>
      <c r="H28" s="33" t="str">
        <f aca="false">IF(G28=0,"",_xlfn.MAXIFS(Payments!$A$5:$A$304,Payments!$B$5:$B$304,A28,Payments!$E$5:$E$304,D28))</f>
        <v/>
      </c>
      <c r="I28" s="34" t="n">
        <f aca="false">IF(E28&gt;Settings!$B$4,0,IF(G28&gt;=F28,MAX(0,H28-E28),Settings!$B$4-E28))</f>
        <v>0</v>
      </c>
      <c r="J28" s="24" t="n">
        <f aca="false">IF(I28&gt;INDEX(Tenancies!$I$5:$I$50,MATCH(A28,Tenancies!$A$5:$A$50,0)),INDEX(Tenancies!$J$5:$J$50,MATCH(A28,Tenancies!$A$5:$A$50,0)),0)</f>
        <v>0</v>
      </c>
      <c r="K28" s="24" t="n">
        <f aca="false">SUMIFS(Payments!$G$5:$G$304,Payments!$B$5:$B$304,A28,Payments!$E$5:$E$304,D28)</f>
        <v>0</v>
      </c>
      <c r="L28" s="24" t="n">
        <f aca="false">IF(E28&gt;Settings!$B$4,0,MAX(0,F28+J28-G28-K28))</f>
        <v>0</v>
      </c>
      <c r="M28" s="16" t="str">
        <f aca="false">IF(E28&gt;Settings!$B$4,"Not due",IF(L28&lt;=0,IF(I28&gt;INDEX(Tenancies!$I$5:$I$50,MATCH(A28,Tenancies!$A$5:$A$50,0)),"Paid late","Paid"),IF(G28&gt;=F28,"Fee due",IF(G28&gt;0,"Partial","Overdue"))))</f>
        <v>Not due</v>
      </c>
    </row>
  </sheetData>
  <conditionalFormatting sqref="A5:M28">
    <cfRule type="expression" priority="2" aboveAverage="0" equalAverage="0" bottom="0" percent="0" rank="0" text="" dxfId="4">
      <formula>$M5="Overdue"</formula>
    </cfRule>
    <cfRule type="expression" priority="3" aboveAverage="0" equalAverage="0" bottom="0" percent="0" rank="0" text="" dxfId="5">
      <formula>OR($M5="Partial",$M5="Fee due")</formula>
    </cfRule>
  </conditionalFormatting>
  <conditionalFormatting sqref="M5:M28">
    <cfRule type="expression" priority="4" aboveAverage="0" equalAverage="0" bottom="0" percent="0" rank="0" text="" dxfId="6">
      <formula>M5="Paid late"</formula>
    </cfRule>
    <cfRule type="expression" priority="5" aboveAverage="0" equalAverage="0" bottom="0" percent="0" rank="0" text="" dxfId="2">
      <formula>M5="Paid"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2"/>
    <col collapsed="false" customWidth="true" hidden="false" outlineLevel="0" max="4" min="4" style="0" width="14"/>
    <col collapsed="false" customWidth="true" hidden="false" outlineLevel="0" max="7" min="5" style="0" width="13"/>
    <col collapsed="false" customWidth="true" hidden="false" outlineLevel="0" max="8" min="8" style="0" width="11"/>
    <col collapsed="false" customWidth="true" hidden="false" outlineLevel="0" max="9" min="9" style="0" width="9"/>
    <col collapsed="false" customWidth="true" hidden="false" outlineLevel="0" max="10" min="10" style="0" width="11"/>
    <col collapsed="false" customWidth="true" hidden="false" outlineLevel="0" max="11" min="11" style="0" width="13"/>
  </cols>
  <sheetData>
    <row r="1" customFormat="false" ht="19.7" hidden="false" customHeight="false" outlineLevel="0" collapsed="false">
      <c r="A1" s="1" t="s">
        <v>107</v>
      </c>
    </row>
    <row r="2" customFormat="false" ht="15" hidden="false" customHeight="false" outlineLevel="0" collapsed="false">
      <c r="A2" s="2" t="s">
        <v>108</v>
      </c>
    </row>
    <row r="4" customFormat="false" ht="30" hidden="false" customHeight="true" outlineLevel="0" collapsed="false">
      <c r="A4" s="12" t="s">
        <v>83</v>
      </c>
      <c r="B4" s="12" t="s">
        <v>38</v>
      </c>
      <c r="C4" s="12" t="s">
        <v>39</v>
      </c>
      <c r="D4" s="12" t="s">
        <v>57</v>
      </c>
      <c r="E4" s="12" t="s">
        <v>109</v>
      </c>
      <c r="F4" s="12" t="s">
        <v>110</v>
      </c>
      <c r="G4" s="12" t="s">
        <v>111</v>
      </c>
      <c r="H4" s="12" t="s">
        <v>112</v>
      </c>
      <c r="I4" s="12" t="s">
        <v>113</v>
      </c>
      <c r="J4" s="12" t="s">
        <v>114</v>
      </c>
      <c r="K4" s="12" t="s">
        <v>46</v>
      </c>
    </row>
    <row r="5" customFormat="false" ht="15" hidden="false" customHeight="false" outlineLevel="0" collapsed="false">
      <c r="A5" s="28" t="s">
        <v>90</v>
      </c>
      <c r="B5" s="28" t="s">
        <v>115</v>
      </c>
      <c r="C5" s="13" t="str">
        <f aca="false">IFERROR(INDEX(Properties!$B$5:$B$50,MATCH(B5,Properties!$A$5:$A$50,0)),"")</f>
        <v>12 Elm Road, Birmingham B15</v>
      </c>
      <c r="D5" s="28" t="s">
        <v>116</v>
      </c>
      <c r="E5" s="27" t="n">
        <v>46023</v>
      </c>
      <c r="F5" s="27" t="n">
        <v>46568</v>
      </c>
      <c r="G5" s="35" t="n">
        <v>950</v>
      </c>
      <c r="H5" s="28" t="n">
        <v>1</v>
      </c>
      <c r="I5" s="28" t="n">
        <v>5</v>
      </c>
      <c r="J5" s="35" t="n">
        <v>50</v>
      </c>
      <c r="K5" s="16" t="str">
        <f aca="false">IF(Settings!$B$4&gt;F5,"Ended",IF(Settings!$B$4&lt;E5,"Future",IF(F5-Settings!$B$4&lt;=60,"Ending soon","Active")))</f>
        <v>Active</v>
      </c>
    </row>
    <row r="6" customFormat="false" ht="15" hidden="false" customHeight="false" outlineLevel="0" collapsed="false">
      <c r="A6" s="28" t="s">
        <v>94</v>
      </c>
      <c r="B6" s="28" t="s">
        <v>117</v>
      </c>
      <c r="C6" s="13" t="str">
        <f aca="false">IFERROR(INDEX(Properties!$B$5:$B$50,MATCH(B6,Properties!$A$5:$A$50,0)),"")</f>
        <v>48 Oak Street, Birmingham B29</v>
      </c>
      <c r="D6" s="28" t="s">
        <v>118</v>
      </c>
      <c r="E6" s="27" t="n">
        <v>45905</v>
      </c>
      <c r="F6" s="27" t="n">
        <v>46387</v>
      </c>
      <c r="G6" s="35" t="n">
        <v>1350</v>
      </c>
      <c r="H6" s="28" t="n">
        <v>5</v>
      </c>
      <c r="I6" s="28" t="n">
        <v>5</v>
      </c>
      <c r="J6" s="35" t="n">
        <v>40</v>
      </c>
      <c r="K6" s="16" t="str">
        <f aca="false">IF(Settings!$B$4&gt;F6,"Ended",IF(Settings!$B$4&lt;E6,"Future",IF(F6-Settings!$B$4&lt;=60,"Ending soon","Active")))</f>
        <v>Active</v>
      </c>
    </row>
    <row r="7" customFormat="false" ht="15" hidden="false" customHeight="false" outlineLevel="0" collapsed="false">
      <c r="A7" s="28" t="s">
        <v>92</v>
      </c>
      <c r="B7" s="28" t="s">
        <v>119</v>
      </c>
      <c r="C7" s="13" t="str">
        <f aca="false">IFERROR(INDEX(Properties!$B$5:$B$50,MATCH(B7,Properties!$A$5:$A$50,0)),"")</f>
        <v>7 Canal View, Birmingham B1</v>
      </c>
      <c r="D7" s="28" t="s">
        <v>120</v>
      </c>
      <c r="E7" s="27" t="n">
        <v>46082</v>
      </c>
      <c r="F7" s="27" t="n">
        <v>46446</v>
      </c>
      <c r="G7" s="35" t="n">
        <v>875</v>
      </c>
      <c r="H7" s="28" t="n">
        <v>1</v>
      </c>
      <c r="I7" s="28" t="n">
        <v>5</v>
      </c>
      <c r="J7" s="35" t="n">
        <v>35</v>
      </c>
      <c r="K7" s="16" t="str">
        <f aca="false">IF(Settings!$B$4&gt;F7,"Ended",IF(Settings!$B$4&lt;E7,"Future",IF(F7-Settings!$B$4&lt;=60,"Ending soon","Active")))</f>
        <v>Active</v>
      </c>
    </row>
    <row r="8" customFormat="false" ht="15" hidden="false" customHeight="false" outlineLevel="0" collapsed="false">
      <c r="A8" s="28" t="s">
        <v>95</v>
      </c>
      <c r="B8" s="28" t="s">
        <v>56</v>
      </c>
      <c r="C8" s="13" t="str">
        <f aca="false">IFERROR(INDEX(Properties!$B$5:$B$50,MATCH(B8,Properties!$A$5:$A$50,0)),"")</f>
        <v>221 Bristol Road, Birmingham B5</v>
      </c>
      <c r="D8" s="28" t="s">
        <v>121</v>
      </c>
      <c r="E8" s="27" t="n">
        <v>45971</v>
      </c>
      <c r="F8" s="27" t="n">
        <v>46335</v>
      </c>
      <c r="G8" s="35" t="n">
        <v>1600</v>
      </c>
      <c r="H8" s="28" t="n">
        <v>10</v>
      </c>
      <c r="I8" s="28" t="n">
        <v>5</v>
      </c>
      <c r="J8" s="35" t="n">
        <v>75</v>
      </c>
      <c r="K8" s="16" t="str">
        <f aca="false">IF(Settings!$B$4&gt;F8,"Ended",IF(Settings!$B$4&lt;E8,"Future",IF(F8-Settings!$B$4&lt;=60,"Ending soon","Active")))</f>
        <v>Ending soon</v>
      </c>
    </row>
  </sheetData>
  <conditionalFormatting sqref="K5:K50">
    <cfRule type="expression" priority="2" aboveAverage="0" equalAverage="0" bottom="0" percent="0" rank="0" text="" dxfId="5">
      <formula>K5="Ending soon"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22"/>
    <col collapsed="false" customWidth="true" hidden="false" outlineLevel="0" max="4" min="4" style="0" width="11"/>
    <col collapsed="false" customWidth="true" hidden="false" outlineLevel="0" max="5" min="5" style="0" width="30"/>
  </cols>
  <sheetData>
    <row r="1" customFormat="false" ht="19.7" hidden="false" customHeight="false" outlineLevel="0" collapsed="false">
      <c r="A1" s="1" t="s">
        <v>122</v>
      </c>
    </row>
    <row r="2" customFormat="false" ht="15" hidden="false" customHeight="false" outlineLevel="0" collapsed="false">
      <c r="A2" s="2" t="s">
        <v>123</v>
      </c>
    </row>
    <row r="4" customFormat="false" ht="30" hidden="false" customHeight="true" outlineLevel="0" collapsed="false">
      <c r="A4" s="12" t="s">
        <v>38</v>
      </c>
      <c r="B4" s="12" t="s">
        <v>39</v>
      </c>
      <c r="C4" s="12" t="s">
        <v>124</v>
      </c>
      <c r="D4" s="12" t="s">
        <v>125</v>
      </c>
      <c r="E4" s="12" t="s">
        <v>89</v>
      </c>
    </row>
    <row r="5" customFormat="false" ht="15" hidden="false" customHeight="false" outlineLevel="0" collapsed="false">
      <c r="A5" s="28" t="s">
        <v>115</v>
      </c>
      <c r="B5" s="28" t="s">
        <v>126</v>
      </c>
      <c r="C5" s="28" t="s">
        <v>127</v>
      </c>
      <c r="D5" s="28" t="n">
        <v>2</v>
      </c>
      <c r="E5" s="28" t="s">
        <v>128</v>
      </c>
    </row>
    <row r="6" customFormat="false" ht="15" hidden="false" customHeight="false" outlineLevel="0" collapsed="false">
      <c r="A6" s="28" t="s">
        <v>117</v>
      </c>
      <c r="B6" s="28" t="s">
        <v>129</v>
      </c>
      <c r="C6" s="28" t="s">
        <v>130</v>
      </c>
      <c r="D6" s="28" t="n">
        <v>3</v>
      </c>
      <c r="E6" s="28" t="s">
        <v>128</v>
      </c>
    </row>
    <row r="7" customFormat="false" ht="15" hidden="false" customHeight="false" outlineLevel="0" collapsed="false">
      <c r="A7" s="28" t="s">
        <v>119</v>
      </c>
      <c r="B7" s="28" t="s">
        <v>131</v>
      </c>
      <c r="C7" s="28" t="s">
        <v>127</v>
      </c>
      <c r="D7" s="28" t="n">
        <v>1</v>
      </c>
      <c r="E7" s="28" t="s">
        <v>128</v>
      </c>
    </row>
    <row r="8" customFormat="false" ht="15" hidden="false" customHeight="false" outlineLevel="0" collapsed="false">
      <c r="A8" s="28" t="s">
        <v>56</v>
      </c>
      <c r="B8" s="28" t="s">
        <v>132</v>
      </c>
      <c r="C8" s="28" t="s">
        <v>133</v>
      </c>
      <c r="D8" s="28" t="n">
        <v>4</v>
      </c>
      <c r="E8" s="28" t="s">
        <v>128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4"/>
    <col collapsed="false" customWidth="true" hidden="false" outlineLevel="0" max="4" min="4" style="0" width="13"/>
    <col collapsed="false" customWidth="true" hidden="false" outlineLevel="0" max="5" min="5" style="0" width="32"/>
  </cols>
  <sheetData>
    <row r="1" customFormat="false" ht="19.7" hidden="false" customHeight="false" outlineLevel="0" collapsed="false">
      <c r="A1" s="1" t="s">
        <v>134</v>
      </c>
    </row>
    <row r="2" customFormat="false" ht="15" hidden="false" customHeight="false" outlineLevel="0" collapsed="false">
      <c r="A2" s="2" t="s">
        <v>135</v>
      </c>
    </row>
    <row r="4" customFormat="false" ht="30" hidden="false" customHeight="true" outlineLevel="0" collapsed="false">
      <c r="A4" s="12" t="s">
        <v>136</v>
      </c>
      <c r="B4" s="12" t="s">
        <v>38</v>
      </c>
      <c r="C4" s="12" t="s">
        <v>137</v>
      </c>
      <c r="D4" s="12" t="s">
        <v>138</v>
      </c>
      <c r="E4" s="12" t="s">
        <v>89</v>
      </c>
    </row>
    <row r="5" customFormat="false" ht="15" hidden="false" customHeight="false" outlineLevel="0" collapsed="false">
      <c r="A5" s="27" t="n">
        <v>46206</v>
      </c>
      <c r="B5" s="28" t="s">
        <v>115</v>
      </c>
      <c r="C5" s="28" t="s">
        <v>139</v>
      </c>
      <c r="D5" s="31" t="n">
        <v>180</v>
      </c>
      <c r="E5" s="28" t="s">
        <v>140</v>
      </c>
    </row>
    <row r="6" customFormat="false" ht="15" hidden="false" customHeight="false" outlineLevel="0" collapsed="false">
      <c r="A6" s="27" t="n">
        <v>46218</v>
      </c>
      <c r="B6" s="28" t="s">
        <v>119</v>
      </c>
      <c r="C6" s="28" t="s">
        <v>141</v>
      </c>
      <c r="D6" s="31" t="n">
        <v>600</v>
      </c>
      <c r="E6" s="28" t="s">
        <v>142</v>
      </c>
    </row>
    <row r="7" customFormat="false" ht="15" hidden="false" customHeight="false" outlineLevel="0" collapsed="false">
      <c r="A7" s="27" t="n">
        <v>46246</v>
      </c>
      <c r="B7" s="28" t="s">
        <v>117</v>
      </c>
      <c r="C7" s="28" t="s">
        <v>143</v>
      </c>
      <c r="D7" s="31" t="n">
        <v>420</v>
      </c>
      <c r="E7" s="28" t="s">
        <v>144</v>
      </c>
    </row>
    <row r="8" customFormat="false" ht="15" hidden="false" customHeight="false" outlineLevel="0" collapsed="false">
      <c r="A8" s="27" t="n">
        <v>46267</v>
      </c>
      <c r="B8" s="28" t="s">
        <v>56</v>
      </c>
      <c r="C8" s="28" t="s">
        <v>145</v>
      </c>
      <c r="D8" s="31" t="n">
        <v>90</v>
      </c>
      <c r="E8" s="28" t="s">
        <v>146</v>
      </c>
    </row>
    <row r="9" customFormat="false" ht="15" hidden="false" customHeight="false" outlineLevel="0" collapsed="false">
      <c r="A9" s="27" t="n">
        <v>46285</v>
      </c>
      <c r="B9" s="28" t="s">
        <v>117</v>
      </c>
      <c r="C9" s="28" t="s">
        <v>145</v>
      </c>
      <c r="D9" s="31" t="n">
        <v>75</v>
      </c>
      <c r="E9" s="28" t="s">
        <v>147</v>
      </c>
    </row>
    <row r="10" customFormat="false" ht="15" hidden="false" customHeight="false" outlineLevel="0" collapsed="false">
      <c r="A10" s="27" t="n">
        <v>46301</v>
      </c>
      <c r="B10" s="28" t="s">
        <v>56</v>
      </c>
      <c r="C10" s="28" t="s">
        <v>143</v>
      </c>
      <c r="D10" s="31" t="n">
        <v>850</v>
      </c>
      <c r="E10" s="28" t="s">
        <v>148</v>
      </c>
    </row>
    <row r="11" customFormat="false" ht="15" hidden="false" customHeight="false" outlineLevel="0" collapsed="false">
      <c r="A11" s="27" t="n">
        <v>46309</v>
      </c>
      <c r="B11" s="28" t="s">
        <v>115</v>
      </c>
      <c r="C11" s="28" t="s">
        <v>149</v>
      </c>
      <c r="D11" s="31" t="n">
        <v>120</v>
      </c>
      <c r="E11" s="28" t="s">
        <v>150</v>
      </c>
    </row>
    <row r="12" customFormat="false" ht="15" hidden="false" customHeight="false" outlineLevel="0" collapsed="false">
      <c r="A12" s="27"/>
      <c r="B12" s="28"/>
      <c r="C12" s="28"/>
      <c r="D12" s="31"/>
      <c r="E12" s="28"/>
    </row>
    <row r="13" customFormat="false" ht="15" hidden="false" customHeight="false" outlineLevel="0" collapsed="false">
      <c r="A13" s="27"/>
      <c r="B13" s="28"/>
      <c r="C13" s="28"/>
      <c r="D13" s="31"/>
      <c r="E13" s="28"/>
    </row>
    <row r="14" customFormat="false" ht="15" hidden="false" customHeight="false" outlineLevel="0" collapsed="false">
      <c r="A14" s="27"/>
      <c r="B14" s="28"/>
      <c r="C14" s="28"/>
      <c r="D14" s="31"/>
      <c r="E14" s="28"/>
    </row>
    <row r="15" customFormat="false" ht="15" hidden="false" customHeight="false" outlineLevel="0" collapsed="false">
      <c r="A15" s="27"/>
      <c r="B15" s="28"/>
      <c r="C15" s="28"/>
      <c r="D15" s="31"/>
      <c r="E15" s="28"/>
    </row>
    <row r="16" customFormat="false" ht="15" hidden="false" customHeight="false" outlineLevel="0" collapsed="false">
      <c r="A16" s="27"/>
      <c r="B16" s="28"/>
      <c r="C16" s="28"/>
      <c r="D16" s="31"/>
      <c r="E16" s="28"/>
    </row>
    <row r="17" customFormat="false" ht="15" hidden="false" customHeight="false" outlineLevel="0" collapsed="false">
      <c r="A17" s="27"/>
      <c r="B17" s="28"/>
      <c r="C17" s="28"/>
      <c r="D17" s="31"/>
      <c r="E17" s="28"/>
    </row>
    <row r="18" customFormat="false" ht="15" hidden="false" customHeight="false" outlineLevel="0" collapsed="false">
      <c r="A18" s="27"/>
      <c r="B18" s="28"/>
      <c r="C18" s="28"/>
      <c r="D18" s="31"/>
      <c r="E18" s="28"/>
    </row>
    <row r="19" customFormat="false" ht="15" hidden="false" customHeight="false" outlineLevel="0" collapsed="false">
      <c r="A19" s="27"/>
      <c r="B19" s="28"/>
      <c r="C19" s="28"/>
      <c r="D19" s="31"/>
      <c r="E19" s="28"/>
    </row>
    <row r="20" customFormat="false" ht="15" hidden="false" customHeight="false" outlineLevel="0" collapsed="false">
      <c r="A20" s="27"/>
      <c r="B20" s="28"/>
      <c r="C20" s="28"/>
      <c r="D20" s="31"/>
      <c r="E20" s="28"/>
    </row>
    <row r="21" customFormat="false" ht="15" hidden="false" customHeight="false" outlineLevel="0" collapsed="false">
      <c r="A21" s="27"/>
      <c r="B21" s="28"/>
      <c r="C21" s="28"/>
      <c r="D21" s="31"/>
      <c r="E21" s="28"/>
    </row>
    <row r="22" customFormat="false" ht="15" hidden="false" customHeight="false" outlineLevel="0" collapsed="false">
      <c r="A22" s="27"/>
      <c r="B22" s="28"/>
      <c r="C22" s="28"/>
      <c r="D22" s="31"/>
      <c r="E22" s="28"/>
    </row>
    <row r="23" customFormat="false" ht="15" hidden="false" customHeight="false" outlineLevel="0" collapsed="false">
      <c r="A23" s="27"/>
      <c r="B23" s="28"/>
      <c r="C23" s="28"/>
      <c r="D23" s="31"/>
      <c r="E23" s="28"/>
    </row>
    <row r="24" customFormat="false" ht="15" hidden="false" customHeight="false" outlineLevel="0" collapsed="false">
      <c r="A24" s="27"/>
      <c r="B24" s="28"/>
      <c r="C24" s="28"/>
      <c r="D24" s="31"/>
      <c r="E24" s="28"/>
    </row>
    <row r="25" customFormat="false" ht="15" hidden="false" customHeight="false" outlineLevel="0" collapsed="false">
      <c r="A25" s="27"/>
      <c r="B25" s="28"/>
      <c r="C25" s="28"/>
      <c r="D25" s="31"/>
      <c r="E25" s="28"/>
    </row>
    <row r="26" customFormat="false" ht="15" hidden="false" customHeight="false" outlineLevel="0" collapsed="false">
      <c r="A26" s="27"/>
      <c r="B26" s="28"/>
      <c r="C26" s="28"/>
      <c r="D26" s="31"/>
      <c r="E26" s="28"/>
    </row>
    <row r="27" customFormat="false" ht="15" hidden="false" customHeight="false" outlineLevel="0" collapsed="false">
      <c r="A27" s="27"/>
      <c r="B27" s="28"/>
      <c r="C27" s="28"/>
      <c r="D27" s="31"/>
      <c r="E27" s="28"/>
    </row>
    <row r="28" customFormat="false" ht="15" hidden="false" customHeight="false" outlineLevel="0" collapsed="false">
      <c r="A28" s="27"/>
      <c r="B28" s="28"/>
      <c r="C28" s="28"/>
      <c r="D28" s="31"/>
      <c r="E28" s="28"/>
    </row>
    <row r="29" customFormat="false" ht="15" hidden="false" customHeight="false" outlineLevel="0" collapsed="false">
      <c r="A29" s="27"/>
      <c r="B29" s="28"/>
      <c r="C29" s="28"/>
      <c r="D29" s="31"/>
      <c r="E29" s="28"/>
    </row>
    <row r="30" customFormat="false" ht="15" hidden="false" customHeight="false" outlineLevel="0" collapsed="false">
      <c r="A30" s="27"/>
      <c r="B30" s="28"/>
      <c r="C30" s="28"/>
      <c r="D30" s="31"/>
      <c r="E30" s="28"/>
    </row>
    <row r="31" customFormat="false" ht="15" hidden="false" customHeight="false" outlineLevel="0" collapsed="false">
      <c r="A31" s="27"/>
      <c r="B31" s="28"/>
      <c r="C31" s="28"/>
      <c r="D31" s="31"/>
      <c r="E31" s="28"/>
    </row>
    <row r="32" customFormat="false" ht="15" hidden="false" customHeight="false" outlineLevel="0" collapsed="false">
      <c r="A32" s="27"/>
      <c r="B32" s="28"/>
      <c r="C32" s="28"/>
      <c r="D32" s="31"/>
      <c r="E32" s="28"/>
    </row>
    <row r="33" customFormat="false" ht="15" hidden="false" customHeight="false" outlineLevel="0" collapsed="false">
      <c r="A33" s="27"/>
      <c r="B33" s="28"/>
      <c r="C33" s="28"/>
      <c r="D33" s="31"/>
      <c r="E33" s="28"/>
    </row>
    <row r="34" customFormat="false" ht="15" hidden="false" customHeight="false" outlineLevel="0" collapsed="false">
      <c r="A34" s="27"/>
      <c r="B34" s="28"/>
      <c r="C34" s="28"/>
      <c r="D34" s="31"/>
      <c r="E34" s="28"/>
    </row>
    <row r="35" customFormat="false" ht="15" hidden="false" customHeight="false" outlineLevel="0" collapsed="false">
      <c r="A35" s="27"/>
      <c r="B35" s="28"/>
      <c r="C35" s="28"/>
      <c r="D35" s="31"/>
      <c r="E35" s="28"/>
    </row>
    <row r="36" customFormat="false" ht="15" hidden="false" customHeight="false" outlineLevel="0" collapsed="false">
      <c r="A36" s="27"/>
      <c r="B36" s="28"/>
      <c r="C36" s="28"/>
      <c r="D36" s="31"/>
      <c r="E36" s="28"/>
    </row>
    <row r="37" customFormat="false" ht="15" hidden="false" customHeight="false" outlineLevel="0" collapsed="false">
      <c r="A37" s="27"/>
      <c r="B37" s="28"/>
      <c r="C37" s="28"/>
      <c r="D37" s="31"/>
      <c r="E37" s="28"/>
    </row>
    <row r="38" customFormat="false" ht="15" hidden="false" customHeight="false" outlineLevel="0" collapsed="false">
      <c r="A38" s="27"/>
      <c r="B38" s="28"/>
      <c r="C38" s="28"/>
      <c r="D38" s="31"/>
      <c r="E38" s="28"/>
    </row>
    <row r="39" customFormat="false" ht="15" hidden="false" customHeight="false" outlineLevel="0" collapsed="false">
      <c r="A39" s="27"/>
      <c r="B39" s="28"/>
      <c r="C39" s="28"/>
      <c r="D39" s="31"/>
      <c r="E39" s="28"/>
    </row>
    <row r="40" customFormat="false" ht="15" hidden="false" customHeight="false" outlineLevel="0" collapsed="false">
      <c r="A40" s="27"/>
      <c r="B40" s="28"/>
      <c r="C40" s="28"/>
      <c r="D40" s="31"/>
      <c r="E40" s="28"/>
    </row>
    <row r="41" customFormat="false" ht="15" hidden="false" customHeight="false" outlineLevel="0" collapsed="false">
      <c r="A41" s="27"/>
      <c r="B41" s="28"/>
      <c r="C41" s="28"/>
      <c r="D41" s="31"/>
      <c r="E41" s="28"/>
    </row>
    <row r="42" customFormat="false" ht="15" hidden="false" customHeight="false" outlineLevel="0" collapsed="false">
      <c r="A42" s="27"/>
      <c r="B42" s="28"/>
      <c r="C42" s="28"/>
      <c r="D42" s="31"/>
      <c r="E42" s="28"/>
    </row>
    <row r="43" customFormat="false" ht="15" hidden="false" customHeight="false" outlineLevel="0" collapsed="false">
      <c r="A43" s="27"/>
      <c r="B43" s="28"/>
      <c r="C43" s="28"/>
      <c r="D43" s="31"/>
      <c r="E43" s="28"/>
    </row>
    <row r="44" customFormat="false" ht="15" hidden="false" customHeight="false" outlineLevel="0" collapsed="false">
      <c r="A44" s="27"/>
      <c r="B44" s="28"/>
      <c r="C44" s="28"/>
      <c r="D44" s="31"/>
      <c r="E44" s="28"/>
    </row>
    <row r="45" customFormat="false" ht="15" hidden="false" customHeight="false" outlineLevel="0" collapsed="false">
      <c r="A45" s="27"/>
      <c r="B45" s="28"/>
      <c r="C45" s="28"/>
      <c r="D45" s="31"/>
      <c r="E45" s="28"/>
    </row>
    <row r="46" customFormat="false" ht="15" hidden="false" customHeight="false" outlineLevel="0" collapsed="false">
      <c r="A46" s="27"/>
      <c r="B46" s="28"/>
      <c r="C46" s="28"/>
      <c r="D46" s="31"/>
      <c r="E46" s="28"/>
    </row>
    <row r="47" customFormat="false" ht="15" hidden="false" customHeight="false" outlineLevel="0" collapsed="false">
      <c r="A47" s="27"/>
      <c r="B47" s="28"/>
      <c r="C47" s="28"/>
      <c r="D47" s="31"/>
      <c r="E47" s="28"/>
    </row>
    <row r="48" customFormat="false" ht="15" hidden="false" customHeight="false" outlineLevel="0" collapsed="false">
      <c r="A48" s="27"/>
      <c r="B48" s="28"/>
      <c r="C48" s="28"/>
      <c r="D48" s="31"/>
      <c r="E48" s="28"/>
    </row>
    <row r="49" customFormat="false" ht="15" hidden="false" customHeight="false" outlineLevel="0" collapsed="false">
      <c r="A49" s="27"/>
      <c r="B49" s="28"/>
      <c r="C49" s="28"/>
      <c r="D49" s="31"/>
      <c r="E49" s="28"/>
    </row>
    <row r="50" customFormat="false" ht="15" hidden="false" customHeight="false" outlineLevel="0" collapsed="false">
      <c r="A50" s="27"/>
      <c r="B50" s="28"/>
      <c r="C50" s="28"/>
      <c r="D50" s="31"/>
      <c r="E50" s="28"/>
    </row>
    <row r="51" customFormat="false" ht="15" hidden="false" customHeight="false" outlineLevel="0" collapsed="false">
      <c r="A51" s="27"/>
      <c r="B51" s="28"/>
      <c r="C51" s="28"/>
      <c r="D51" s="31"/>
      <c r="E51" s="28"/>
    </row>
    <row r="52" customFormat="false" ht="15" hidden="false" customHeight="false" outlineLevel="0" collapsed="false">
      <c r="A52" s="27"/>
      <c r="B52" s="28"/>
      <c r="C52" s="28"/>
      <c r="D52" s="31"/>
      <c r="E52" s="28"/>
    </row>
    <row r="53" customFormat="false" ht="15" hidden="false" customHeight="false" outlineLevel="0" collapsed="false">
      <c r="A53" s="27"/>
      <c r="B53" s="28"/>
      <c r="C53" s="28"/>
      <c r="D53" s="31"/>
      <c r="E53" s="28"/>
    </row>
    <row r="54" customFormat="false" ht="15" hidden="false" customHeight="false" outlineLevel="0" collapsed="false">
      <c r="A54" s="27"/>
      <c r="B54" s="28"/>
      <c r="C54" s="28"/>
      <c r="D54" s="31"/>
      <c r="E54" s="28"/>
    </row>
    <row r="55" customFormat="false" ht="15" hidden="false" customHeight="false" outlineLevel="0" collapsed="false">
      <c r="A55" s="27"/>
      <c r="B55" s="28"/>
      <c r="C55" s="28"/>
      <c r="D55" s="31"/>
      <c r="E55" s="28"/>
    </row>
    <row r="56" customFormat="false" ht="15" hidden="false" customHeight="false" outlineLevel="0" collapsed="false">
      <c r="A56" s="27"/>
      <c r="B56" s="28"/>
      <c r="C56" s="28"/>
      <c r="D56" s="31"/>
      <c r="E56" s="28"/>
    </row>
    <row r="57" customFormat="false" ht="15" hidden="false" customHeight="false" outlineLevel="0" collapsed="false">
      <c r="A57" s="27"/>
      <c r="B57" s="28"/>
      <c r="C57" s="28"/>
      <c r="D57" s="31"/>
      <c r="E57" s="28"/>
    </row>
    <row r="58" customFormat="false" ht="15" hidden="false" customHeight="false" outlineLevel="0" collapsed="false">
      <c r="A58" s="27"/>
      <c r="B58" s="28"/>
      <c r="C58" s="28"/>
      <c r="D58" s="31"/>
      <c r="E58" s="28"/>
    </row>
    <row r="59" customFormat="false" ht="15" hidden="false" customHeight="false" outlineLevel="0" collapsed="false">
      <c r="A59" s="27"/>
      <c r="B59" s="28"/>
      <c r="C59" s="28"/>
      <c r="D59" s="31"/>
      <c r="E59" s="28"/>
    </row>
    <row r="60" customFormat="false" ht="15" hidden="false" customHeight="false" outlineLevel="0" collapsed="false">
      <c r="A60" s="27"/>
      <c r="B60" s="28"/>
      <c r="C60" s="28"/>
      <c r="D60" s="31"/>
      <c r="E60" s="28"/>
    </row>
    <row r="61" customFormat="false" ht="15" hidden="false" customHeight="false" outlineLevel="0" collapsed="false">
      <c r="A61" s="27"/>
      <c r="B61" s="28"/>
      <c r="C61" s="28"/>
      <c r="D61" s="31"/>
      <c r="E61" s="28"/>
    </row>
    <row r="62" customFormat="false" ht="15" hidden="false" customHeight="false" outlineLevel="0" collapsed="false">
      <c r="A62" s="27"/>
      <c r="B62" s="28"/>
      <c r="C62" s="28"/>
      <c r="D62" s="31"/>
      <c r="E62" s="28"/>
    </row>
    <row r="63" customFormat="false" ht="15" hidden="false" customHeight="false" outlineLevel="0" collapsed="false">
      <c r="A63" s="27"/>
      <c r="B63" s="28"/>
      <c r="C63" s="28"/>
      <c r="D63" s="31"/>
      <c r="E63" s="28"/>
    </row>
    <row r="64" customFormat="false" ht="15" hidden="false" customHeight="false" outlineLevel="0" collapsed="false">
      <c r="A64" s="27"/>
      <c r="B64" s="28"/>
      <c r="C64" s="28"/>
      <c r="D64" s="31"/>
      <c r="E64" s="28"/>
    </row>
    <row r="65" customFormat="false" ht="15" hidden="false" customHeight="false" outlineLevel="0" collapsed="false">
      <c r="A65" s="27"/>
      <c r="B65" s="28"/>
      <c r="C65" s="28"/>
      <c r="D65" s="31"/>
      <c r="E65" s="28"/>
    </row>
    <row r="66" customFormat="false" ht="15" hidden="false" customHeight="false" outlineLevel="0" collapsed="false">
      <c r="A66" s="27"/>
      <c r="B66" s="28"/>
      <c r="C66" s="28"/>
      <c r="D66" s="31"/>
      <c r="E66" s="28"/>
    </row>
    <row r="67" customFormat="false" ht="15" hidden="false" customHeight="false" outlineLevel="0" collapsed="false">
      <c r="A67" s="27"/>
      <c r="B67" s="28"/>
      <c r="C67" s="28"/>
      <c r="D67" s="31"/>
      <c r="E67" s="28"/>
    </row>
    <row r="68" customFormat="false" ht="15" hidden="false" customHeight="false" outlineLevel="0" collapsed="false">
      <c r="A68" s="27"/>
      <c r="B68" s="28"/>
      <c r="C68" s="28"/>
      <c r="D68" s="31"/>
      <c r="E68" s="28"/>
    </row>
    <row r="69" customFormat="false" ht="15" hidden="false" customHeight="false" outlineLevel="0" collapsed="false">
      <c r="A69" s="27"/>
      <c r="B69" s="28"/>
      <c r="C69" s="28"/>
      <c r="D69" s="31"/>
      <c r="E69" s="28"/>
    </row>
    <row r="70" customFormat="false" ht="15" hidden="false" customHeight="false" outlineLevel="0" collapsed="false">
      <c r="A70" s="27"/>
      <c r="B70" s="28"/>
      <c r="C70" s="28"/>
      <c r="D70" s="31"/>
      <c r="E70" s="28"/>
    </row>
    <row r="71" customFormat="false" ht="15" hidden="false" customHeight="false" outlineLevel="0" collapsed="false">
      <c r="A71" s="27"/>
      <c r="B71" s="28"/>
      <c r="C71" s="28"/>
      <c r="D71" s="31"/>
      <c r="E71" s="28"/>
    </row>
    <row r="72" customFormat="false" ht="15" hidden="false" customHeight="false" outlineLevel="0" collapsed="false">
      <c r="A72" s="27"/>
      <c r="B72" s="28"/>
      <c r="C72" s="28"/>
      <c r="D72" s="31"/>
      <c r="E72" s="28"/>
    </row>
    <row r="73" customFormat="false" ht="15" hidden="false" customHeight="false" outlineLevel="0" collapsed="false">
      <c r="A73" s="27"/>
      <c r="B73" s="28"/>
      <c r="C73" s="28"/>
      <c r="D73" s="31"/>
      <c r="E73" s="28"/>
    </row>
    <row r="74" customFormat="false" ht="15" hidden="false" customHeight="false" outlineLevel="0" collapsed="false">
      <c r="A74" s="27"/>
      <c r="B74" s="28"/>
      <c r="C74" s="28"/>
      <c r="D74" s="31"/>
      <c r="E74" s="28"/>
    </row>
    <row r="75" customFormat="false" ht="15" hidden="false" customHeight="false" outlineLevel="0" collapsed="false">
      <c r="A75" s="27"/>
      <c r="B75" s="28"/>
      <c r="C75" s="28"/>
      <c r="D75" s="31"/>
      <c r="E75" s="28"/>
    </row>
    <row r="76" customFormat="false" ht="15" hidden="false" customHeight="false" outlineLevel="0" collapsed="false">
      <c r="A76" s="27"/>
      <c r="B76" s="28"/>
      <c r="C76" s="28"/>
      <c r="D76" s="31"/>
      <c r="E76" s="28"/>
    </row>
    <row r="77" customFormat="false" ht="15" hidden="false" customHeight="false" outlineLevel="0" collapsed="false">
      <c r="A77" s="27"/>
      <c r="B77" s="28"/>
      <c r="C77" s="28"/>
      <c r="D77" s="31"/>
      <c r="E77" s="28"/>
    </row>
    <row r="78" customFormat="false" ht="15" hidden="false" customHeight="false" outlineLevel="0" collapsed="false">
      <c r="A78" s="27"/>
      <c r="B78" s="28"/>
      <c r="C78" s="28"/>
      <c r="D78" s="31"/>
      <c r="E78" s="28"/>
    </row>
    <row r="79" customFormat="false" ht="15" hidden="false" customHeight="false" outlineLevel="0" collapsed="false">
      <c r="A79" s="27"/>
      <c r="B79" s="28"/>
      <c r="C79" s="28"/>
      <c r="D79" s="31"/>
      <c r="E79" s="28"/>
    </row>
    <row r="80" customFormat="false" ht="15" hidden="false" customHeight="false" outlineLevel="0" collapsed="false">
      <c r="A80" s="27"/>
      <c r="B80" s="28"/>
      <c r="C80" s="28"/>
      <c r="D80" s="31"/>
      <c r="E80" s="28"/>
    </row>
    <row r="81" customFormat="false" ht="15" hidden="false" customHeight="false" outlineLevel="0" collapsed="false">
      <c r="A81" s="27"/>
      <c r="B81" s="28"/>
      <c r="C81" s="28"/>
      <c r="D81" s="31"/>
      <c r="E81" s="28"/>
    </row>
    <row r="82" customFormat="false" ht="15" hidden="false" customHeight="false" outlineLevel="0" collapsed="false">
      <c r="A82" s="27"/>
      <c r="B82" s="28"/>
      <c r="C82" s="28"/>
      <c r="D82" s="31"/>
      <c r="E82" s="28"/>
    </row>
    <row r="83" customFormat="false" ht="15" hidden="false" customHeight="false" outlineLevel="0" collapsed="false">
      <c r="A83" s="27"/>
      <c r="B83" s="28"/>
      <c r="C83" s="28"/>
      <c r="D83" s="31"/>
      <c r="E83" s="28"/>
    </row>
    <row r="84" customFormat="false" ht="15" hidden="false" customHeight="false" outlineLevel="0" collapsed="false">
      <c r="A84" s="27"/>
      <c r="B84" s="28"/>
      <c r="C84" s="28"/>
      <c r="D84" s="31"/>
      <c r="E84" s="28"/>
    </row>
    <row r="85" customFormat="false" ht="15" hidden="false" customHeight="false" outlineLevel="0" collapsed="false">
      <c r="A85" s="27"/>
      <c r="B85" s="28"/>
      <c r="C85" s="28"/>
      <c r="D85" s="31"/>
      <c r="E85" s="28"/>
    </row>
    <row r="86" customFormat="false" ht="15" hidden="false" customHeight="false" outlineLevel="0" collapsed="false">
      <c r="A86" s="27"/>
      <c r="B86" s="28"/>
      <c r="C86" s="28"/>
      <c r="D86" s="31"/>
      <c r="E86" s="28"/>
    </row>
    <row r="87" customFormat="false" ht="15" hidden="false" customHeight="false" outlineLevel="0" collapsed="false">
      <c r="A87" s="27"/>
      <c r="B87" s="28"/>
      <c r="C87" s="28"/>
      <c r="D87" s="31"/>
      <c r="E87" s="28"/>
    </row>
    <row r="88" customFormat="false" ht="15" hidden="false" customHeight="false" outlineLevel="0" collapsed="false">
      <c r="A88" s="27"/>
      <c r="B88" s="28"/>
      <c r="C88" s="28"/>
      <c r="D88" s="31"/>
      <c r="E88" s="28"/>
    </row>
    <row r="89" customFormat="false" ht="15" hidden="false" customHeight="false" outlineLevel="0" collapsed="false">
      <c r="A89" s="27"/>
      <c r="B89" s="28"/>
      <c r="C89" s="28"/>
      <c r="D89" s="31"/>
      <c r="E89" s="28"/>
    </row>
    <row r="90" customFormat="false" ht="15" hidden="false" customHeight="false" outlineLevel="0" collapsed="false">
      <c r="A90" s="27"/>
      <c r="B90" s="28"/>
      <c r="C90" s="28"/>
      <c r="D90" s="31"/>
      <c r="E90" s="28"/>
    </row>
    <row r="91" customFormat="false" ht="15" hidden="false" customHeight="false" outlineLevel="0" collapsed="false">
      <c r="A91" s="27"/>
      <c r="B91" s="28"/>
      <c r="C91" s="28"/>
      <c r="D91" s="31"/>
      <c r="E91" s="28"/>
    </row>
    <row r="92" customFormat="false" ht="15" hidden="false" customHeight="false" outlineLevel="0" collapsed="false">
      <c r="A92" s="27"/>
      <c r="B92" s="28"/>
      <c r="C92" s="28"/>
      <c r="D92" s="31"/>
      <c r="E92" s="28"/>
    </row>
    <row r="93" customFormat="false" ht="15" hidden="false" customHeight="false" outlineLevel="0" collapsed="false">
      <c r="A93" s="27"/>
      <c r="B93" s="28"/>
      <c r="C93" s="28"/>
      <c r="D93" s="31"/>
      <c r="E93" s="28"/>
    </row>
    <row r="94" customFormat="false" ht="15" hidden="false" customHeight="false" outlineLevel="0" collapsed="false">
      <c r="A94" s="27"/>
      <c r="B94" s="28"/>
      <c r="C94" s="28"/>
      <c r="D94" s="31"/>
      <c r="E94" s="28"/>
    </row>
    <row r="95" customFormat="false" ht="15" hidden="false" customHeight="false" outlineLevel="0" collapsed="false">
      <c r="A95" s="27"/>
      <c r="B95" s="28"/>
      <c r="C95" s="28"/>
      <c r="D95" s="31"/>
      <c r="E95" s="28"/>
    </row>
    <row r="96" customFormat="false" ht="15" hidden="false" customHeight="false" outlineLevel="0" collapsed="false">
      <c r="A96" s="27"/>
      <c r="B96" s="28"/>
      <c r="C96" s="28"/>
      <c r="D96" s="31"/>
      <c r="E96" s="28"/>
    </row>
    <row r="97" customFormat="false" ht="15" hidden="false" customHeight="false" outlineLevel="0" collapsed="false">
      <c r="A97" s="27"/>
      <c r="B97" s="28"/>
      <c r="C97" s="28"/>
      <c r="D97" s="31"/>
      <c r="E97" s="28"/>
    </row>
    <row r="98" customFormat="false" ht="15" hidden="false" customHeight="false" outlineLevel="0" collapsed="false">
      <c r="A98" s="27"/>
      <c r="B98" s="28"/>
      <c r="C98" s="28"/>
      <c r="D98" s="31"/>
      <c r="E98" s="28"/>
    </row>
    <row r="99" customFormat="false" ht="15" hidden="false" customHeight="false" outlineLevel="0" collapsed="false">
      <c r="A99" s="27"/>
      <c r="B99" s="28"/>
      <c r="C99" s="28"/>
      <c r="D99" s="31"/>
      <c r="E99" s="28"/>
    </row>
    <row r="100" customFormat="false" ht="15" hidden="false" customHeight="false" outlineLevel="0" collapsed="false">
      <c r="A100" s="27"/>
      <c r="B100" s="28"/>
      <c r="C100" s="28"/>
      <c r="D100" s="31"/>
      <c r="E100" s="28"/>
    </row>
    <row r="101" customFormat="false" ht="15" hidden="false" customHeight="false" outlineLevel="0" collapsed="false">
      <c r="A101" s="27"/>
      <c r="B101" s="28"/>
      <c r="C101" s="28"/>
      <c r="D101" s="31"/>
      <c r="E101" s="28"/>
    </row>
    <row r="102" customFormat="false" ht="15" hidden="false" customHeight="false" outlineLevel="0" collapsed="false">
      <c r="A102" s="27"/>
      <c r="B102" s="28"/>
      <c r="C102" s="28"/>
      <c r="D102" s="31"/>
      <c r="E102" s="28"/>
    </row>
    <row r="103" customFormat="false" ht="15" hidden="false" customHeight="false" outlineLevel="0" collapsed="false">
      <c r="A103" s="27"/>
      <c r="B103" s="28"/>
      <c r="C103" s="28"/>
      <c r="D103" s="31"/>
      <c r="E103" s="28"/>
    </row>
    <row r="104" customFormat="false" ht="15" hidden="false" customHeight="false" outlineLevel="0" collapsed="false">
      <c r="A104" s="27"/>
      <c r="B104" s="28"/>
      <c r="C104" s="28"/>
      <c r="D104" s="31"/>
      <c r="E104" s="28"/>
    </row>
  </sheetData>
  <dataValidations count="2">
    <dataValidation allowBlank="true" errorStyle="stop" operator="between" showDropDown="false" showErrorMessage="false" showInputMessage="false" sqref="B5:B104" type="list">
      <formula1>Properties!$A$5:$A$50</formula1>
      <formula2>0</formula2>
    </dataValidation>
    <dataValidation allowBlank="true" errorStyle="stop" operator="between" showDropDown="false" showErrorMessage="false" showInputMessage="false" sqref="C5:C104" type="list">
      <formula1>Settings!$B$10:$B$15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15"/>
    <col collapsed="false" customWidth="true" hidden="false" outlineLevel="0" max="6" min="6" style="0" width="17"/>
    <col collapsed="false" customWidth="true" hidden="false" outlineLevel="0" max="7" min="7" style="0" width="15"/>
    <col collapsed="false" customWidth="true" hidden="false" outlineLevel="0" max="8" min="8" style="0" width="19"/>
  </cols>
  <sheetData>
    <row r="1" customFormat="false" ht="19.7" hidden="false" customHeight="false" outlineLevel="0" collapsed="false">
      <c r="A1" s="1" t="s">
        <v>151</v>
      </c>
    </row>
    <row r="2" customFormat="false" ht="15" hidden="false" customHeight="false" outlineLevel="0" collapsed="false">
      <c r="A2" s="2" t="s">
        <v>152</v>
      </c>
    </row>
    <row r="4" customFormat="false" ht="30" hidden="false" customHeight="true" outlineLevel="0" collapsed="false">
      <c r="A4" s="12" t="s">
        <v>38</v>
      </c>
      <c r="B4" s="12" t="s">
        <v>45</v>
      </c>
      <c r="C4" s="12" t="s">
        <v>153</v>
      </c>
      <c r="D4" s="12" t="s">
        <v>154</v>
      </c>
      <c r="E4" s="12" t="s">
        <v>155</v>
      </c>
      <c r="F4" s="12" t="s">
        <v>156</v>
      </c>
    </row>
    <row r="5" customFormat="false" ht="15" hidden="false" customHeight="false" outlineLevel="0" collapsed="false">
      <c r="A5" s="13" t="str">
        <f aca="false">Properties!A5</f>
        <v>P01</v>
      </c>
      <c r="B5" s="20" t="n">
        <f aca="false">INDEX(Dashboard!$H$16:$H$19,MATCH(A5,Dashboard!$A$16:$A$19,0))</f>
        <v>3196</v>
      </c>
      <c r="C5" s="36" t="n">
        <v>0.5</v>
      </c>
      <c r="D5" s="36" t="n">
        <v>0.5</v>
      </c>
      <c r="E5" s="36" t="n">
        <v>0</v>
      </c>
      <c r="F5" s="15" t="n">
        <f aca="false">SUM(C5:E5)</f>
        <v>1</v>
      </c>
    </row>
    <row r="6" customFormat="false" ht="15" hidden="false" customHeight="false" outlineLevel="0" collapsed="false">
      <c r="A6" s="13" t="str">
        <f aca="false">Properties!A6</f>
        <v>P02</v>
      </c>
      <c r="B6" s="20" t="n">
        <f aca="false">INDEX(Dashboard!$H$16:$H$19,MATCH(A6,Dashboard!$A$16:$A$19,0))</f>
        <v>4509.8</v>
      </c>
      <c r="C6" s="36" t="n">
        <v>0.4</v>
      </c>
      <c r="D6" s="36" t="n">
        <v>0.3</v>
      </c>
      <c r="E6" s="36" t="n">
        <v>0.3</v>
      </c>
      <c r="F6" s="15" t="n">
        <f aca="false">SUM(C6:E6)</f>
        <v>1</v>
      </c>
    </row>
    <row r="7" customFormat="false" ht="15" hidden="false" customHeight="false" outlineLevel="0" collapsed="false">
      <c r="A7" s="13" t="str">
        <f aca="false">Properties!A7</f>
        <v>P03</v>
      </c>
      <c r="B7" s="20" t="n">
        <f aca="false">INDEX(Dashboard!$H$16:$H$19,MATCH(A7,Dashboard!$A$16:$A$19,0))</f>
        <v>2275</v>
      </c>
      <c r="C7" s="36" t="n">
        <v>0</v>
      </c>
      <c r="D7" s="36" t="n">
        <v>0.5</v>
      </c>
      <c r="E7" s="36" t="n">
        <v>0.5</v>
      </c>
      <c r="F7" s="15" t="n">
        <f aca="false">SUM(C7:E7)</f>
        <v>1</v>
      </c>
    </row>
    <row r="8" customFormat="false" ht="15" hidden="false" customHeight="false" outlineLevel="0" collapsed="false">
      <c r="A8" s="13" t="str">
        <f aca="false">Properties!A8</f>
        <v>P04</v>
      </c>
      <c r="B8" s="20" t="n">
        <f aca="false">INDEX(Dashboard!$H$16:$H$19,MATCH(A8,Dashboard!$A$16:$A$19,0))</f>
        <v>3476</v>
      </c>
      <c r="C8" s="36" t="n">
        <v>0.34</v>
      </c>
      <c r="D8" s="36" t="n">
        <v>0.33</v>
      </c>
      <c r="E8" s="36" t="n">
        <v>0.33</v>
      </c>
      <c r="F8" s="15" t="n">
        <f aca="false">SUM(C8:E8)</f>
        <v>1</v>
      </c>
    </row>
    <row r="11" customFormat="false" ht="15" hidden="false" customHeight="false" outlineLevel="0" collapsed="false">
      <c r="A11" s="6" t="s">
        <v>157</v>
      </c>
    </row>
    <row r="12" customFormat="false" ht="15" hidden="false" customHeight="false" outlineLevel="0" collapsed="false">
      <c r="A12" s="2" t="s">
        <v>158</v>
      </c>
    </row>
    <row r="14" customFormat="false" ht="30" hidden="false" customHeight="true" outlineLevel="0" collapsed="false">
      <c r="A14" s="12" t="s">
        <v>49</v>
      </c>
      <c r="B14" s="12" t="s">
        <v>159</v>
      </c>
      <c r="C14" s="12" t="s">
        <v>160</v>
      </c>
      <c r="D14" s="12" t="s">
        <v>161</v>
      </c>
      <c r="E14" s="12" t="s">
        <v>162</v>
      </c>
      <c r="F14" s="12" t="s">
        <v>50</v>
      </c>
      <c r="G14" s="12" t="s">
        <v>51</v>
      </c>
      <c r="H14" s="12" t="s">
        <v>52</v>
      </c>
    </row>
    <row r="15" customFormat="false" ht="15" hidden="false" customHeight="false" outlineLevel="0" collapsed="false">
      <c r="A15" s="28" t="s">
        <v>163</v>
      </c>
      <c r="B15" s="14" t="n">
        <f aca="false">$B$5*$C$5</f>
        <v>1598</v>
      </c>
      <c r="C15" s="14" t="n">
        <f aca="false">$B$6*$C$6</f>
        <v>1803.92</v>
      </c>
      <c r="D15" s="14" t="n">
        <f aca="false">$B$7*$C$7</f>
        <v>0</v>
      </c>
      <c r="E15" s="14" t="n">
        <f aca="false">$B$8*$C$8</f>
        <v>1181.84</v>
      </c>
      <c r="F15" s="14" t="n">
        <f aca="false">SUM(B15:E15)</f>
        <v>4583.76</v>
      </c>
      <c r="G15" s="20" t="n">
        <f aca="false">SUMIFS(Distributions!$C$5:$C$104,Distributions!$B$5:$B$104,A15)</f>
        <v>1800</v>
      </c>
      <c r="H15" s="14" t="n">
        <f aca="false">MAX(0,F15-G15)</f>
        <v>2783.76</v>
      </c>
    </row>
    <row r="16" customFormat="false" ht="15" hidden="false" customHeight="false" outlineLevel="0" collapsed="false">
      <c r="A16" s="28" t="s">
        <v>164</v>
      </c>
      <c r="B16" s="14" t="n">
        <f aca="false">$B$5*$D$5</f>
        <v>1598</v>
      </c>
      <c r="C16" s="14" t="n">
        <f aca="false">$B$6*$D$6</f>
        <v>1352.94</v>
      </c>
      <c r="D16" s="14" t="n">
        <f aca="false">$B$7*$D$7</f>
        <v>1137.5</v>
      </c>
      <c r="E16" s="14" t="n">
        <f aca="false">$B$8*$D$8</f>
        <v>1147.08</v>
      </c>
      <c r="F16" s="14" t="n">
        <f aca="false">SUM(B16:E16)</f>
        <v>5235.52</v>
      </c>
      <c r="G16" s="20" t="n">
        <f aca="false">SUMIFS(Distributions!$C$5:$C$104,Distributions!$B$5:$B$104,A16)</f>
        <v>1600</v>
      </c>
      <c r="H16" s="14" t="n">
        <f aca="false">MAX(0,F16-G16)</f>
        <v>3635.52</v>
      </c>
    </row>
    <row r="17" customFormat="false" ht="15" hidden="false" customHeight="false" outlineLevel="0" collapsed="false">
      <c r="A17" s="28" t="s">
        <v>165</v>
      </c>
      <c r="B17" s="14" t="n">
        <f aca="false">$B$5*$E$5</f>
        <v>0</v>
      </c>
      <c r="C17" s="14" t="n">
        <f aca="false">$B$6*$E$6</f>
        <v>1352.94</v>
      </c>
      <c r="D17" s="14" t="n">
        <f aca="false">$B$7*$E$7</f>
        <v>1137.5</v>
      </c>
      <c r="E17" s="14" t="n">
        <f aca="false">$B$8*$E$8</f>
        <v>1147.08</v>
      </c>
      <c r="F17" s="14" t="n">
        <f aca="false">SUM(B17:E17)</f>
        <v>3637.52</v>
      </c>
      <c r="G17" s="20" t="n">
        <f aca="false">SUMIFS(Distributions!$C$5:$C$104,Distributions!$B$5:$B$104,A17)</f>
        <v>1500</v>
      </c>
      <c r="H17" s="14" t="n">
        <f aca="false">MAX(0,F17-G17)</f>
        <v>2137.52</v>
      </c>
    </row>
    <row r="18" customFormat="false" ht="15" hidden="false" customHeight="false" outlineLevel="0" collapsed="false">
      <c r="A18" s="17" t="s">
        <v>47</v>
      </c>
      <c r="B18" s="18" t="n">
        <f aca="false">SUM(B15:B17)</f>
        <v>3196</v>
      </c>
      <c r="C18" s="18" t="n">
        <f aca="false">SUM(C15:C17)</f>
        <v>4509.8</v>
      </c>
      <c r="D18" s="18" t="n">
        <f aca="false">SUM(D15:D17)</f>
        <v>2275</v>
      </c>
      <c r="E18" s="18" t="n">
        <f aca="false">SUM(E15:E17)</f>
        <v>3476</v>
      </c>
      <c r="F18" s="18" t="n">
        <f aca="false">SUM(F15:F17)</f>
        <v>13456.8</v>
      </c>
      <c r="G18" s="18" t="n">
        <f aca="false">SUM(G15:G17)</f>
        <v>4900</v>
      </c>
      <c r="H18" s="18" t="n">
        <f aca="false">SUM(H15:H17)</f>
        <v>8556.8</v>
      </c>
    </row>
  </sheetData>
  <conditionalFormatting sqref="F5:F8">
    <cfRule type="expression" priority="2" aboveAverage="0" equalAverage="0" bottom="0" percent="0" rank="0" text="" dxfId="4">
      <formula>ROUND(F5,4)&lt;&gt;1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13"/>
    <col collapsed="false" customWidth="true" hidden="false" outlineLevel="0" max="4" min="4" style="0" width="30"/>
  </cols>
  <sheetData>
    <row r="1" customFormat="false" ht="19.7" hidden="false" customHeight="false" outlineLevel="0" collapsed="false">
      <c r="A1" s="1" t="s">
        <v>166</v>
      </c>
    </row>
    <row r="2" customFormat="false" ht="15" hidden="false" customHeight="false" outlineLevel="0" collapsed="false">
      <c r="A2" s="2" t="s">
        <v>167</v>
      </c>
    </row>
    <row r="4" customFormat="false" ht="30" hidden="false" customHeight="true" outlineLevel="0" collapsed="false">
      <c r="A4" s="12" t="s">
        <v>136</v>
      </c>
      <c r="B4" s="12" t="s">
        <v>49</v>
      </c>
      <c r="C4" s="12" t="s">
        <v>138</v>
      </c>
      <c r="D4" s="12" t="s">
        <v>89</v>
      </c>
    </row>
    <row r="5" customFormat="false" ht="15" hidden="false" customHeight="false" outlineLevel="0" collapsed="false">
      <c r="A5" s="27" t="n">
        <v>46295</v>
      </c>
      <c r="B5" s="28" t="s">
        <v>163</v>
      </c>
      <c r="C5" s="31" t="n">
        <v>1800</v>
      </c>
      <c r="D5" s="28" t="s">
        <v>168</v>
      </c>
    </row>
    <row r="6" customFormat="false" ht="15" hidden="false" customHeight="false" outlineLevel="0" collapsed="false">
      <c r="A6" s="27" t="n">
        <v>46295</v>
      </c>
      <c r="B6" s="28" t="s">
        <v>164</v>
      </c>
      <c r="C6" s="31" t="n">
        <v>1600</v>
      </c>
      <c r="D6" s="28" t="s">
        <v>168</v>
      </c>
    </row>
    <row r="7" customFormat="false" ht="15" hidden="false" customHeight="false" outlineLevel="0" collapsed="false">
      <c r="A7" s="27" t="n">
        <v>46295</v>
      </c>
      <c r="B7" s="28" t="s">
        <v>165</v>
      </c>
      <c r="C7" s="31" t="n">
        <v>1500</v>
      </c>
      <c r="D7" s="28" t="s">
        <v>168</v>
      </c>
    </row>
    <row r="8" customFormat="false" ht="15" hidden="false" customHeight="false" outlineLevel="0" collapsed="false">
      <c r="A8" s="27"/>
      <c r="B8" s="28"/>
      <c r="C8" s="31"/>
      <c r="D8" s="28"/>
    </row>
    <row r="9" customFormat="false" ht="15" hidden="false" customHeight="false" outlineLevel="0" collapsed="false">
      <c r="A9" s="27"/>
      <c r="B9" s="28"/>
      <c r="C9" s="31"/>
      <c r="D9" s="28"/>
    </row>
    <row r="10" customFormat="false" ht="15" hidden="false" customHeight="false" outlineLevel="0" collapsed="false">
      <c r="A10" s="27"/>
      <c r="B10" s="28"/>
      <c r="C10" s="31"/>
      <c r="D10" s="28"/>
    </row>
    <row r="11" customFormat="false" ht="15" hidden="false" customHeight="false" outlineLevel="0" collapsed="false">
      <c r="A11" s="27"/>
      <c r="B11" s="28"/>
      <c r="C11" s="31"/>
      <c r="D11" s="28"/>
    </row>
    <row r="12" customFormat="false" ht="15" hidden="false" customHeight="false" outlineLevel="0" collapsed="false">
      <c r="A12" s="27"/>
      <c r="B12" s="28"/>
      <c r="C12" s="31"/>
      <c r="D12" s="28"/>
    </row>
    <row r="13" customFormat="false" ht="15" hidden="false" customHeight="false" outlineLevel="0" collapsed="false">
      <c r="A13" s="27"/>
      <c r="B13" s="28"/>
      <c r="C13" s="31"/>
      <c r="D13" s="28"/>
    </row>
    <row r="14" customFormat="false" ht="15" hidden="false" customHeight="false" outlineLevel="0" collapsed="false">
      <c r="A14" s="27"/>
      <c r="B14" s="28"/>
      <c r="C14" s="31"/>
      <c r="D14" s="28"/>
    </row>
    <row r="15" customFormat="false" ht="15" hidden="false" customHeight="false" outlineLevel="0" collapsed="false">
      <c r="A15" s="27"/>
      <c r="B15" s="28"/>
      <c r="C15" s="31"/>
      <c r="D15" s="28"/>
    </row>
    <row r="16" customFormat="false" ht="15" hidden="false" customHeight="false" outlineLevel="0" collapsed="false">
      <c r="A16" s="27"/>
      <c r="B16" s="28"/>
      <c r="C16" s="31"/>
      <c r="D16" s="28"/>
    </row>
    <row r="17" customFormat="false" ht="15" hidden="false" customHeight="false" outlineLevel="0" collapsed="false">
      <c r="A17" s="27"/>
      <c r="B17" s="28"/>
      <c r="C17" s="31"/>
      <c r="D17" s="28"/>
    </row>
    <row r="18" customFormat="false" ht="15" hidden="false" customHeight="false" outlineLevel="0" collapsed="false">
      <c r="A18" s="27"/>
      <c r="B18" s="28"/>
      <c r="C18" s="31"/>
      <c r="D18" s="28"/>
    </row>
    <row r="19" customFormat="false" ht="15" hidden="false" customHeight="false" outlineLevel="0" collapsed="false">
      <c r="A19" s="27"/>
      <c r="B19" s="28"/>
      <c r="C19" s="31"/>
      <c r="D19" s="28"/>
    </row>
    <row r="20" customFormat="false" ht="15" hidden="false" customHeight="false" outlineLevel="0" collapsed="false">
      <c r="A20" s="27"/>
      <c r="B20" s="28"/>
      <c r="C20" s="31"/>
      <c r="D20" s="28"/>
    </row>
    <row r="21" customFormat="false" ht="15" hidden="false" customHeight="false" outlineLevel="0" collapsed="false">
      <c r="A21" s="27"/>
      <c r="B21" s="28"/>
      <c r="C21" s="31"/>
      <c r="D21" s="28"/>
    </row>
    <row r="22" customFormat="false" ht="15" hidden="false" customHeight="false" outlineLevel="0" collapsed="false">
      <c r="A22" s="27"/>
      <c r="B22" s="28"/>
      <c r="C22" s="31"/>
      <c r="D22" s="28"/>
    </row>
    <row r="23" customFormat="false" ht="15" hidden="false" customHeight="false" outlineLevel="0" collapsed="false">
      <c r="A23" s="27"/>
      <c r="B23" s="28"/>
      <c r="C23" s="31"/>
      <c r="D23" s="28"/>
    </row>
    <row r="24" customFormat="false" ht="15" hidden="false" customHeight="false" outlineLevel="0" collapsed="false">
      <c r="A24" s="27"/>
      <c r="B24" s="28"/>
      <c r="C24" s="31"/>
      <c r="D24" s="28"/>
    </row>
    <row r="25" customFormat="false" ht="15" hidden="false" customHeight="false" outlineLevel="0" collapsed="false">
      <c r="A25" s="27"/>
      <c r="B25" s="28"/>
      <c r="C25" s="31"/>
      <c r="D25" s="28"/>
    </row>
    <row r="26" customFormat="false" ht="15" hidden="false" customHeight="false" outlineLevel="0" collapsed="false">
      <c r="A26" s="27"/>
      <c r="B26" s="28"/>
      <c r="C26" s="31"/>
      <c r="D26" s="28"/>
    </row>
    <row r="27" customFormat="false" ht="15" hidden="false" customHeight="false" outlineLevel="0" collapsed="false">
      <c r="A27" s="27"/>
      <c r="B27" s="28"/>
      <c r="C27" s="31"/>
      <c r="D27" s="28"/>
    </row>
    <row r="28" customFormat="false" ht="15" hidden="false" customHeight="false" outlineLevel="0" collapsed="false">
      <c r="A28" s="27"/>
      <c r="B28" s="28"/>
      <c r="C28" s="31"/>
      <c r="D28" s="28"/>
    </row>
    <row r="29" customFormat="false" ht="15" hidden="false" customHeight="false" outlineLevel="0" collapsed="false">
      <c r="A29" s="27"/>
      <c r="B29" s="28"/>
      <c r="C29" s="31"/>
      <c r="D29" s="28"/>
    </row>
    <row r="30" customFormat="false" ht="15" hidden="false" customHeight="false" outlineLevel="0" collapsed="false">
      <c r="A30" s="27"/>
      <c r="B30" s="28"/>
      <c r="C30" s="31"/>
      <c r="D30" s="28"/>
    </row>
    <row r="31" customFormat="false" ht="15" hidden="false" customHeight="false" outlineLevel="0" collapsed="false">
      <c r="A31" s="27"/>
      <c r="B31" s="28"/>
      <c r="C31" s="31"/>
      <c r="D31" s="28"/>
    </row>
    <row r="32" customFormat="false" ht="15" hidden="false" customHeight="false" outlineLevel="0" collapsed="false">
      <c r="A32" s="27"/>
      <c r="B32" s="28"/>
      <c r="C32" s="31"/>
      <c r="D32" s="28"/>
    </row>
    <row r="33" customFormat="false" ht="15" hidden="false" customHeight="false" outlineLevel="0" collapsed="false">
      <c r="A33" s="27"/>
      <c r="B33" s="28"/>
      <c r="C33" s="31"/>
      <c r="D33" s="28"/>
    </row>
    <row r="34" customFormat="false" ht="15" hidden="false" customHeight="false" outlineLevel="0" collapsed="false">
      <c r="A34" s="27"/>
      <c r="B34" s="28"/>
      <c r="C34" s="31"/>
      <c r="D34" s="28"/>
    </row>
    <row r="35" customFormat="false" ht="15" hidden="false" customHeight="false" outlineLevel="0" collapsed="false">
      <c r="A35" s="27"/>
      <c r="B35" s="28"/>
      <c r="C35" s="31"/>
      <c r="D35" s="28"/>
    </row>
    <row r="36" customFormat="false" ht="15" hidden="false" customHeight="false" outlineLevel="0" collapsed="false">
      <c r="A36" s="27"/>
      <c r="B36" s="28"/>
      <c r="C36" s="31"/>
      <c r="D36" s="28"/>
    </row>
    <row r="37" customFormat="false" ht="15" hidden="false" customHeight="false" outlineLevel="0" collapsed="false">
      <c r="A37" s="27"/>
      <c r="B37" s="28"/>
      <c r="C37" s="31"/>
      <c r="D37" s="28"/>
    </row>
    <row r="38" customFormat="false" ht="15" hidden="false" customHeight="false" outlineLevel="0" collapsed="false">
      <c r="A38" s="27"/>
      <c r="B38" s="28"/>
      <c r="C38" s="31"/>
      <c r="D38" s="28"/>
    </row>
    <row r="39" customFormat="false" ht="15" hidden="false" customHeight="false" outlineLevel="0" collapsed="false">
      <c r="A39" s="27"/>
      <c r="B39" s="28"/>
      <c r="C39" s="31"/>
      <c r="D39" s="28"/>
    </row>
    <row r="40" customFormat="false" ht="15" hidden="false" customHeight="false" outlineLevel="0" collapsed="false">
      <c r="A40" s="27"/>
      <c r="B40" s="28"/>
      <c r="C40" s="31"/>
      <c r="D40" s="28"/>
    </row>
    <row r="41" customFormat="false" ht="15" hidden="false" customHeight="false" outlineLevel="0" collapsed="false">
      <c r="A41" s="27"/>
      <c r="B41" s="28"/>
      <c r="C41" s="31"/>
      <c r="D41" s="28"/>
    </row>
    <row r="42" customFormat="false" ht="15" hidden="false" customHeight="false" outlineLevel="0" collapsed="false">
      <c r="A42" s="27"/>
      <c r="B42" s="28"/>
      <c r="C42" s="31"/>
      <c r="D42" s="28"/>
    </row>
    <row r="43" customFormat="false" ht="15" hidden="false" customHeight="false" outlineLevel="0" collapsed="false">
      <c r="A43" s="27"/>
      <c r="B43" s="28"/>
      <c r="C43" s="31"/>
      <c r="D43" s="28"/>
    </row>
    <row r="44" customFormat="false" ht="15" hidden="false" customHeight="false" outlineLevel="0" collapsed="false">
      <c r="A44" s="27"/>
      <c r="B44" s="28"/>
      <c r="C44" s="31"/>
      <c r="D44" s="28"/>
    </row>
    <row r="45" customFormat="false" ht="15" hidden="false" customHeight="false" outlineLevel="0" collapsed="false">
      <c r="A45" s="27"/>
      <c r="B45" s="28"/>
      <c r="C45" s="31"/>
      <c r="D45" s="28"/>
    </row>
    <row r="46" customFormat="false" ht="15" hidden="false" customHeight="false" outlineLevel="0" collapsed="false">
      <c r="A46" s="27"/>
      <c r="B46" s="28"/>
      <c r="C46" s="31"/>
      <c r="D46" s="28"/>
    </row>
    <row r="47" customFormat="false" ht="15" hidden="false" customHeight="false" outlineLevel="0" collapsed="false">
      <c r="A47" s="27"/>
      <c r="B47" s="28"/>
      <c r="C47" s="31"/>
      <c r="D47" s="28"/>
    </row>
    <row r="48" customFormat="false" ht="15" hidden="false" customHeight="false" outlineLevel="0" collapsed="false">
      <c r="A48" s="27"/>
      <c r="B48" s="28"/>
      <c r="C48" s="31"/>
      <c r="D48" s="28"/>
    </row>
    <row r="49" customFormat="false" ht="15" hidden="false" customHeight="false" outlineLevel="0" collapsed="false">
      <c r="A49" s="27"/>
      <c r="B49" s="28"/>
      <c r="C49" s="31"/>
      <c r="D49" s="28"/>
    </row>
    <row r="50" customFormat="false" ht="15" hidden="false" customHeight="false" outlineLevel="0" collapsed="false">
      <c r="A50" s="27"/>
      <c r="B50" s="28"/>
      <c r="C50" s="31"/>
      <c r="D50" s="28"/>
    </row>
    <row r="51" customFormat="false" ht="15" hidden="false" customHeight="false" outlineLevel="0" collapsed="false">
      <c r="A51" s="27"/>
      <c r="B51" s="28"/>
      <c r="C51" s="31"/>
      <c r="D51" s="28"/>
    </row>
    <row r="52" customFormat="false" ht="15" hidden="false" customHeight="false" outlineLevel="0" collapsed="false">
      <c r="A52" s="27"/>
      <c r="B52" s="28"/>
      <c r="C52" s="31"/>
      <c r="D52" s="28"/>
    </row>
    <row r="53" customFormat="false" ht="15" hidden="false" customHeight="false" outlineLevel="0" collapsed="false">
      <c r="A53" s="27"/>
      <c r="B53" s="28"/>
      <c r="C53" s="31"/>
      <c r="D53" s="28"/>
    </row>
    <row r="54" customFormat="false" ht="15" hidden="false" customHeight="false" outlineLevel="0" collapsed="false">
      <c r="A54" s="27"/>
      <c r="B54" s="28"/>
      <c r="C54" s="31"/>
      <c r="D54" s="28"/>
    </row>
    <row r="55" customFormat="false" ht="15" hidden="false" customHeight="false" outlineLevel="0" collapsed="false">
      <c r="A55" s="27"/>
      <c r="B55" s="28"/>
      <c r="C55" s="31"/>
      <c r="D55" s="28"/>
    </row>
    <row r="56" customFormat="false" ht="15" hidden="false" customHeight="false" outlineLevel="0" collapsed="false">
      <c r="A56" s="27"/>
      <c r="B56" s="28"/>
      <c r="C56" s="31"/>
      <c r="D56" s="28"/>
    </row>
    <row r="57" customFormat="false" ht="15" hidden="false" customHeight="false" outlineLevel="0" collapsed="false">
      <c r="A57" s="27"/>
      <c r="B57" s="28"/>
      <c r="C57" s="31"/>
      <c r="D57" s="28"/>
    </row>
    <row r="58" customFormat="false" ht="15" hidden="false" customHeight="false" outlineLevel="0" collapsed="false">
      <c r="A58" s="27"/>
      <c r="B58" s="28"/>
      <c r="C58" s="31"/>
      <c r="D58" s="28"/>
    </row>
    <row r="59" customFormat="false" ht="15" hidden="false" customHeight="false" outlineLevel="0" collapsed="false">
      <c r="A59" s="27"/>
      <c r="B59" s="28"/>
      <c r="C59" s="31"/>
      <c r="D59" s="28"/>
    </row>
    <row r="60" customFormat="false" ht="15" hidden="false" customHeight="false" outlineLevel="0" collapsed="false">
      <c r="A60" s="27"/>
      <c r="B60" s="28"/>
      <c r="C60" s="31"/>
      <c r="D60" s="28"/>
    </row>
    <row r="61" customFormat="false" ht="15" hidden="false" customHeight="false" outlineLevel="0" collapsed="false">
      <c r="A61" s="27"/>
      <c r="B61" s="28"/>
      <c r="C61" s="31"/>
      <c r="D61" s="28"/>
    </row>
    <row r="62" customFormat="false" ht="15" hidden="false" customHeight="false" outlineLevel="0" collapsed="false">
      <c r="A62" s="27"/>
      <c r="B62" s="28"/>
      <c r="C62" s="31"/>
      <c r="D62" s="28"/>
    </row>
    <row r="63" customFormat="false" ht="15" hidden="false" customHeight="false" outlineLevel="0" collapsed="false">
      <c r="A63" s="27"/>
      <c r="B63" s="28"/>
      <c r="C63" s="31"/>
      <c r="D63" s="28"/>
    </row>
    <row r="64" customFormat="false" ht="15" hidden="false" customHeight="false" outlineLevel="0" collapsed="false">
      <c r="A64" s="27"/>
      <c r="B64" s="28"/>
      <c r="C64" s="31"/>
      <c r="D64" s="28"/>
    </row>
    <row r="65" customFormat="false" ht="15" hidden="false" customHeight="false" outlineLevel="0" collapsed="false">
      <c r="A65" s="27"/>
      <c r="B65" s="28"/>
      <c r="C65" s="31"/>
      <c r="D65" s="28"/>
    </row>
    <row r="66" customFormat="false" ht="15" hidden="false" customHeight="false" outlineLevel="0" collapsed="false">
      <c r="A66" s="27"/>
      <c r="B66" s="28"/>
      <c r="C66" s="31"/>
      <c r="D66" s="28"/>
    </row>
    <row r="67" customFormat="false" ht="15" hidden="false" customHeight="false" outlineLevel="0" collapsed="false">
      <c r="A67" s="27"/>
      <c r="B67" s="28"/>
      <c r="C67" s="31"/>
      <c r="D67" s="28"/>
    </row>
    <row r="68" customFormat="false" ht="15" hidden="false" customHeight="false" outlineLevel="0" collapsed="false">
      <c r="A68" s="27"/>
      <c r="B68" s="28"/>
      <c r="C68" s="31"/>
      <c r="D68" s="28"/>
    </row>
    <row r="69" customFormat="false" ht="15" hidden="false" customHeight="false" outlineLevel="0" collapsed="false">
      <c r="A69" s="27"/>
      <c r="B69" s="28"/>
      <c r="C69" s="31"/>
      <c r="D69" s="28"/>
    </row>
    <row r="70" customFormat="false" ht="15" hidden="false" customHeight="false" outlineLevel="0" collapsed="false">
      <c r="A70" s="27"/>
      <c r="B70" s="28"/>
      <c r="C70" s="31"/>
      <c r="D70" s="28"/>
    </row>
    <row r="71" customFormat="false" ht="15" hidden="false" customHeight="false" outlineLevel="0" collapsed="false">
      <c r="A71" s="27"/>
      <c r="B71" s="28"/>
      <c r="C71" s="31"/>
      <c r="D71" s="28"/>
    </row>
    <row r="72" customFormat="false" ht="15" hidden="false" customHeight="false" outlineLevel="0" collapsed="false">
      <c r="A72" s="27"/>
      <c r="B72" s="28"/>
      <c r="C72" s="31"/>
      <c r="D72" s="28"/>
    </row>
    <row r="73" customFormat="false" ht="15" hidden="false" customHeight="false" outlineLevel="0" collapsed="false">
      <c r="A73" s="27"/>
      <c r="B73" s="28"/>
      <c r="C73" s="31"/>
      <c r="D73" s="28"/>
    </row>
    <row r="74" customFormat="false" ht="15" hidden="false" customHeight="false" outlineLevel="0" collapsed="false">
      <c r="A74" s="27"/>
      <c r="B74" s="28"/>
      <c r="C74" s="31"/>
      <c r="D74" s="28"/>
    </row>
    <row r="75" customFormat="false" ht="15" hidden="false" customHeight="false" outlineLevel="0" collapsed="false">
      <c r="A75" s="27"/>
      <c r="B75" s="28"/>
      <c r="C75" s="31"/>
      <c r="D75" s="28"/>
    </row>
    <row r="76" customFormat="false" ht="15" hidden="false" customHeight="false" outlineLevel="0" collapsed="false">
      <c r="A76" s="27"/>
      <c r="B76" s="28"/>
      <c r="C76" s="31"/>
      <c r="D76" s="28"/>
    </row>
    <row r="77" customFormat="false" ht="15" hidden="false" customHeight="false" outlineLevel="0" collapsed="false">
      <c r="A77" s="27"/>
      <c r="B77" s="28"/>
      <c r="C77" s="31"/>
      <c r="D77" s="28"/>
    </row>
    <row r="78" customFormat="false" ht="15" hidden="false" customHeight="false" outlineLevel="0" collapsed="false">
      <c r="A78" s="27"/>
      <c r="B78" s="28"/>
      <c r="C78" s="31"/>
      <c r="D78" s="28"/>
    </row>
    <row r="79" customFormat="false" ht="15" hidden="false" customHeight="false" outlineLevel="0" collapsed="false">
      <c r="A79" s="27"/>
      <c r="B79" s="28"/>
      <c r="C79" s="31"/>
      <c r="D79" s="28"/>
    </row>
    <row r="80" customFormat="false" ht="15" hidden="false" customHeight="false" outlineLevel="0" collapsed="false">
      <c r="A80" s="27"/>
      <c r="B80" s="28"/>
      <c r="C80" s="31"/>
      <c r="D80" s="28"/>
    </row>
    <row r="81" customFormat="false" ht="15" hidden="false" customHeight="false" outlineLevel="0" collapsed="false">
      <c r="A81" s="27"/>
      <c r="B81" s="28"/>
      <c r="C81" s="31"/>
      <c r="D81" s="28"/>
    </row>
    <row r="82" customFormat="false" ht="15" hidden="false" customHeight="false" outlineLevel="0" collapsed="false">
      <c r="A82" s="27"/>
      <c r="B82" s="28"/>
      <c r="C82" s="31"/>
      <c r="D82" s="28"/>
    </row>
    <row r="83" customFormat="false" ht="15" hidden="false" customHeight="false" outlineLevel="0" collapsed="false">
      <c r="A83" s="27"/>
      <c r="B83" s="28"/>
      <c r="C83" s="31"/>
      <c r="D83" s="28"/>
    </row>
    <row r="84" customFormat="false" ht="15" hidden="false" customHeight="false" outlineLevel="0" collapsed="false">
      <c r="A84" s="27"/>
      <c r="B84" s="28"/>
      <c r="C84" s="31"/>
      <c r="D84" s="28"/>
    </row>
    <row r="85" customFormat="false" ht="15" hidden="false" customHeight="false" outlineLevel="0" collapsed="false">
      <c r="A85" s="27"/>
      <c r="B85" s="28"/>
      <c r="C85" s="31"/>
      <c r="D85" s="28"/>
    </row>
    <row r="86" customFormat="false" ht="15" hidden="false" customHeight="false" outlineLevel="0" collapsed="false">
      <c r="A86" s="27"/>
      <c r="B86" s="28"/>
      <c r="C86" s="31"/>
      <c r="D86" s="28"/>
    </row>
    <row r="87" customFormat="false" ht="15" hidden="false" customHeight="false" outlineLevel="0" collapsed="false">
      <c r="A87" s="27"/>
      <c r="B87" s="28"/>
      <c r="C87" s="31"/>
      <c r="D87" s="28"/>
    </row>
    <row r="88" customFormat="false" ht="15" hidden="false" customHeight="false" outlineLevel="0" collapsed="false">
      <c r="A88" s="27"/>
      <c r="B88" s="28"/>
      <c r="C88" s="31"/>
      <c r="D88" s="28"/>
    </row>
    <row r="89" customFormat="false" ht="15" hidden="false" customHeight="false" outlineLevel="0" collapsed="false">
      <c r="A89" s="27"/>
      <c r="B89" s="28"/>
      <c r="C89" s="31"/>
      <c r="D89" s="28"/>
    </row>
    <row r="90" customFormat="false" ht="15" hidden="false" customHeight="false" outlineLevel="0" collapsed="false">
      <c r="A90" s="27"/>
      <c r="B90" s="28"/>
      <c r="C90" s="31"/>
      <c r="D90" s="28"/>
    </row>
    <row r="91" customFormat="false" ht="15" hidden="false" customHeight="false" outlineLevel="0" collapsed="false">
      <c r="A91" s="27"/>
      <c r="B91" s="28"/>
      <c r="C91" s="31"/>
      <c r="D91" s="28"/>
    </row>
    <row r="92" customFormat="false" ht="15" hidden="false" customHeight="false" outlineLevel="0" collapsed="false">
      <c r="A92" s="27"/>
      <c r="B92" s="28"/>
      <c r="C92" s="31"/>
      <c r="D92" s="28"/>
    </row>
    <row r="93" customFormat="false" ht="15" hidden="false" customHeight="false" outlineLevel="0" collapsed="false">
      <c r="A93" s="27"/>
      <c r="B93" s="28"/>
      <c r="C93" s="31"/>
      <c r="D93" s="28"/>
    </row>
    <row r="94" customFormat="false" ht="15" hidden="false" customHeight="false" outlineLevel="0" collapsed="false">
      <c r="A94" s="27"/>
      <c r="B94" s="28"/>
      <c r="C94" s="31"/>
      <c r="D94" s="28"/>
    </row>
    <row r="95" customFormat="false" ht="15" hidden="false" customHeight="false" outlineLevel="0" collapsed="false">
      <c r="A95" s="27"/>
      <c r="B95" s="28"/>
      <c r="C95" s="31"/>
      <c r="D95" s="28"/>
    </row>
    <row r="96" customFormat="false" ht="15" hidden="false" customHeight="false" outlineLevel="0" collapsed="false">
      <c r="A96" s="27"/>
      <c r="B96" s="28"/>
      <c r="C96" s="31"/>
      <c r="D96" s="28"/>
    </row>
    <row r="97" customFormat="false" ht="15" hidden="false" customHeight="false" outlineLevel="0" collapsed="false">
      <c r="A97" s="27"/>
      <c r="B97" s="28"/>
      <c r="C97" s="31"/>
      <c r="D97" s="28"/>
    </row>
    <row r="98" customFormat="false" ht="15" hidden="false" customHeight="false" outlineLevel="0" collapsed="false">
      <c r="A98" s="27"/>
      <c r="B98" s="28"/>
      <c r="C98" s="31"/>
      <c r="D98" s="28"/>
    </row>
    <row r="99" customFormat="false" ht="15" hidden="false" customHeight="false" outlineLevel="0" collapsed="false">
      <c r="A99" s="27"/>
      <c r="B99" s="28"/>
      <c r="C99" s="31"/>
      <c r="D99" s="28"/>
    </row>
    <row r="100" customFormat="false" ht="15" hidden="false" customHeight="false" outlineLevel="0" collapsed="false">
      <c r="A100" s="27"/>
      <c r="B100" s="28"/>
      <c r="C100" s="31"/>
      <c r="D100" s="28"/>
    </row>
    <row r="101" customFormat="false" ht="15" hidden="false" customHeight="false" outlineLevel="0" collapsed="false">
      <c r="A101" s="27"/>
      <c r="B101" s="28"/>
      <c r="C101" s="31"/>
      <c r="D101" s="28"/>
    </row>
    <row r="102" customFormat="false" ht="15" hidden="false" customHeight="false" outlineLevel="0" collapsed="false">
      <c r="A102" s="27"/>
      <c r="B102" s="28"/>
      <c r="C102" s="31"/>
      <c r="D102" s="28"/>
    </row>
    <row r="103" customFormat="false" ht="15" hidden="false" customHeight="false" outlineLevel="0" collapsed="false">
      <c r="A103" s="27"/>
      <c r="B103" s="28"/>
      <c r="C103" s="31"/>
      <c r="D103" s="28"/>
    </row>
    <row r="104" customFormat="false" ht="15" hidden="false" customHeight="false" outlineLevel="0" collapsed="false">
      <c r="A104" s="27"/>
      <c r="B104" s="28"/>
      <c r="C104" s="31"/>
      <c r="D104" s="28"/>
    </row>
  </sheetData>
  <dataValidations count="1">
    <dataValidation allowBlank="true" errorStyle="stop" operator="between" showDropDown="false" showErrorMessage="false" showInputMessage="false" sqref="B5:B104" type="list">
      <formula1>Ownership!$A$15:$A$17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90"/>
  </cols>
  <sheetData>
    <row r="1" customFormat="false" ht="19.7" hidden="false" customHeight="false" outlineLevel="0" collapsed="false">
      <c r="A1" s="1" t="s">
        <v>169</v>
      </c>
    </row>
    <row r="2" customFormat="false" ht="15" hidden="false" customHeight="false" outlineLevel="0" collapsed="false">
      <c r="A2" s="2" t="s">
        <v>170</v>
      </c>
    </row>
    <row r="4" customFormat="false" ht="15" hidden="false" customHeight="false" outlineLevel="0" collapsed="false">
      <c r="A4" s="17" t="s">
        <v>171</v>
      </c>
      <c r="B4" s="37" t="n">
        <v>46318</v>
      </c>
      <c r="C4" s="2" t="s">
        <v>172</v>
      </c>
    </row>
    <row r="5" customFormat="false" ht="15" hidden="false" customHeight="false" outlineLevel="0" collapsed="false">
      <c r="A5" s="17" t="s">
        <v>173</v>
      </c>
      <c r="B5" s="36" t="n">
        <v>0.08</v>
      </c>
      <c r="C5" s="2" t="s">
        <v>174</v>
      </c>
    </row>
    <row r="6" customFormat="false" ht="15" hidden="false" customHeight="false" outlineLevel="0" collapsed="false">
      <c r="A6" s="17" t="s">
        <v>175</v>
      </c>
      <c r="B6" s="21" t="s">
        <v>176</v>
      </c>
      <c r="C6" s="2" t="s">
        <v>177</v>
      </c>
    </row>
    <row r="8" customFormat="false" ht="15" hidden="false" customHeight="false" outlineLevel="0" collapsed="false">
      <c r="A8" s="6" t="s">
        <v>178</v>
      </c>
    </row>
    <row r="9" customFormat="false" ht="30" hidden="false" customHeight="true" outlineLevel="0" collapsed="false">
      <c r="A9" s="12" t="s">
        <v>179</v>
      </c>
      <c r="B9" s="12" t="s">
        <v>180</v>
      </c>
    </row>
    <row r="10" customFormat="false" ht="15" hidden="false" customHeight="false" outlineLevel="0" collapsed="false">
      <c r="A10" s="28" t="s">
        <v>91</v>
      </c>
      <c r="B10" s="28" t="s">
        <v>143</v>
      </c>
    </row>
    <row r="11" customFormat="false" ht="15" hidden="false" customHeight="false" outlineLevel="0" collapsed="false">
      <c r="A11" s="28" t="s">
        <v>93</v>
      </c>
      <c r="B11" s="28" t="s">
        <v>139</v>
      </c>
    </row>
    <row r="12" customFormat="false" ht="15" hidden="false" customHeight="false" outlineLevel="0" collapsed="false">
      <c r="A12" s="28" t="s">
        <v>181</v>
      </c>
      <c r="B12" s="28" t="s">
        <v>141</v>
      </c>
    </row>
    <row r="13" customFormat="false" ht="15" hidden="false" customHeight="false" outlineLevel="0" collapsed="false">
      <c r="A13" s="28" t="s">
        <v>182</v>
      </c>
      <c r="B13" s="28" t="s">
        <v>145</v>
      </c>
    </row>
    <row r="14" customFormat="false" ht="15" hidden="false" customHeight="false" outlineLevel="0" collapsed="false">
      <c r="B14" s="28" t="s">
        <v>149</v>
      </c>
    </row>
    <row r="15" customFormat="false" ht="15" hidden="false" customHeight="false" outlineLevel="0" collapsed="false">
      <c r="B15" s="28" t="s">
        <v>183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2026-10-23T17:00:18Z</dcterms:created>
  <dc:creator>openpyxl</dc:creator>
  <dc:description/>
  <dc:language>en-US</dc:language>
  <cp:lastModifiedBy/>
  <dcterms:modified xsi:type="dcterms:W3CDTF">2026-10-23T17:00:20Z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